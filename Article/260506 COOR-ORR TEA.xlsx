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G\Downloads\"/>
    </mc:Choice>
  </mc:AlternateContent>
  <xr:revisionPtr revIDLastSave="0" documentId="13_ncr:1_{8D09184A-D61C-4DAA-BACC-934CB6030BEB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system 1 (COOR-ORR 1V pulse)" sheetId="1" r:id="rId1"/>
    <sheet name="system 2 (OER-ORR 1.5V)" sheetId="2" r:id="rId2"/>
    <sheet name="system 3 (LDG_COOR_ORR 0V)" sheetId="3" r:id="rId3"/>
    <sheet name="system 4 (&quot;CO&quot;OR-ORR) 1V Pulse" sheetId="4" r:id="rId4"/>
    <sheet name="Reference" sheetId="5" r:id="rId5"/>
    <sheet name="Material co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G49" i="4" s="1"/>
  <c r="G50" i="4" s="1"/>
  <c r="G41" i="4"/>
  <c r="C41" i="4"/>
  <c r="K34" i="4"/>
  <c r="G34" i="4"/>
  <c r="C31" i="4"/>
  <c r="C30" i="4"/>
  <c r="G27" i="4"/>
  <c r="G31" i="4" s="1"/>
  <c r="G26" i="4"/>
  <c r="G28" i="4" s="1"/>
  <c r="K24" i="4"/>
  <c r="K22" i="4"/>
  <c r="K21" i="4"/>
  <c r="K19" i="4"/>
  <c r="R17" i="4"/>
  <c r="S17" i="4" s="1"/>
  <c r="S53" i="4" s="1"/>
  <c r="K11" i="4"/>
  <c r="G10" i="4"/>
  <c r="G49" i="3"/>
  <c r="G50" i="3" s="1"/>
  <c r="G51" i="3" s="1"/>
  <c r="G42" i="3"/>
  <c r="G44" i="3" s="1"/>
  <c r="C40" i="3"/>
  <c r="K34" i="3"/>
  <c r="G34" i="3"/>
  <c r="C31" i="3"/>
  <c r="G35" i="3" s="1"/>
  <c r="G39" i="3" s="1"/>
  <c r="C30" i="3"/>
  <c r="G43" i="3" s="1"/>
  <c r="G47" i="3" s="1"/>
  <c r="G27" i="3"/>
  <c r="G31" i="3" s="1"/>
  <c r="G26" i="3"/>
  <c r="G28" i="3" s="1"/>
  <c r="K24" i="3"/>
  <c r="P22" i="3" s="1"/>
  <c r="Q22" i="3" s="1"/>
  <c r="K22" i="3"/>
  <c r="K21" i="3"/>
  <c r="K19" i="3"/>
  <c r="P32" i="3" s="1"/>
  <c r="R17" i="3"/>
  <c r="S17" i="3" s="1"/>
  <c r="S53" i="3" s="1"/>
  <c r="Q17" i="3"/>
  <c r="Q15" i="3"/>
  <c r="R15" i="3" s="1"/>
  <c r="S15" i="3" s="1"/>
  <c r="G12" i="3"/>
  <c r="G11" i="3"/>
  <c r="G14" i="3" s="1"/>
  <c r="G15" i="3" s="1"/>
  <c r="G10" i="3"/>
  <c r="G16" i="3" s="1"/>
  <c r="G18" i="3" s="1"/>
  <c r="C39" i="2"/>
  <c r="C30" i="2"/>
  <c r="C29" i="2"/>
  <c r="Q10" i="2" s="1"/>
  <c r="K24" i="2"/>
  <c r="G23" i="2"/>
  <c r="G24" i="2" s="1"/>
  <c r="G25" i="2" s="1"/>
  <c r="K22" i="2"/>
  <c r="K21" i="2"/>
  <c r="G20" i="2"/>
  <c r="K19" i="2"/>
  <c r="G17" i="2"/>
  <c r="R16" i="2"/>
  <c r="S16" i="2" s="1"/>
  <c r="S44" i="2" s="1"/>
  <c r="K11" i="2"/>
  <c r="G10" i="2"/>
  <c r="G48" i="1"/>
  <c r="G49" i="1" s="1"/>
  <c r="G50" i="1" s="1"/>
  <c r="G41" i="1"/>
  <c r="C41" i="1"/>
  <c r="K34" i="1"/>
  <c r="G34" i="1"/>
  <c r="C31" i="1"/>
  <c r="G35" i="1" s="1"/>
  <c r="G39" i="1" s="1"/>
  <c r="C30" i="1"/>
  <c r="G42" i="1" s="1"/>
  <c r="G46" i="1" s="1"/>
  <c r="G28" i="1"/>
  <c r="G27" i="1"/>
  <c r="G31" i="1" s="1"/>
  <c r="G26" i="1"/>
  <c r="K24" i="1"/>
  <c r="P22" i="1" s="1"/>
  <c r="Q22" i="1" s="1"/>
  <c r="K23" i="1"/>
  <c r="K22" i="1"/>
  <c r="K21" i="1"/>
  <c r="K19" i="1"/>
  <c r="P32" i="1" s="1"/>
  <c r="R17" i="1"/>
  <c r="S17" i="1" s="1"/>
  <c r="S53" i="1" s="1"/>
  <c r="Q17" i="1"/>
  <c r="Q15" i="1"/>
  <c r="R15" i="1" s="1"/>
  <c r="S15" i="1" s="1"/>
  <c r="G12" i="1"/>
  <c r="K11" i="1"/>
  <c r="G11" i="1"/>
  <c r="G14" i="1" s="1"/>
  <c r="G15" i="1" s="1"/>
  <c r="G10" i="1"/>
  <c r="G16" i="1" s="1"/>
  <c r="G18" i="1" s="1"/>
  <c r="V8" i="1"/>
  <c r="U8" i="1"/>
  <c r="Q10" i="4" l="1"/>
  <c r="Q16" i="4"/>
  <c r="Q15" i="4"/>
  <c r="G35" i="4"/>
  <c r="Q17" i="4"/>
  <c r="G42" i="4"/>
  <c r="G11" i="4"/>
  <c r="G14" i="4" s="1"/>
  <c r="G12" i="4"/>
  <c r="G29" i="4"/>
  <c r="G30" i="4"/>
  <c r="G32" i="4" s="1"/>
  <c r="T53" i="4"/>
  <c r="Q10" i="3"/>
  <c r="R10" i="3" s="1"/>
  <c r="Q16" i="3"/>
  <c r="R16" i="3" s="1"/>
  <c r="S16" i="3" s="1"/>
  <c r="G45" i="3"/>
  <c r="G46" i="3"/>
  <c r="G48" i="3" s="1"/>
  <c r="Q9" i="3" s="1"/>
  <c r="R9" i="3" s="1"/>
  <c r="S9" i="3" s="1"/>
  <c r="G30" i="3"/>
  <c r="G32" i="3" s="1"/>
  <c r="G29" i="3"/>
  <c r="P46" i="3"/>
  <c r="Q46" i="3" s="1"/>
  <c r="S46" i="3"/>
  <c r="T46" i="3" s="1"/>
  <c r="P51" i="3"/>
  <c r="Q51" i="3" s="1"/>
  <c r="S51" i="3"/>
  <c r="T51" i="3" s="1"/>
  <c r="T53" i="3"/>
  <c r="P23" i="3"/>
  <c r="Q23" i="3" s="1"/>
  <c r="P21" i="3"/>
  <c r="Q21" i="3" s="1"/>
  <c r="Q16" i="2"/>
  <c r="G11" i="2"/>
  <c r="Q9" i="2"/>
  <c r="R9" i="2" s="1"/>
  <c r="S9" i="2" s="1"/>
  <c r="Q15" i="2"/>
  <c r="R15" i="2" s="1"/>
  <c r="S15" i="2" s="1"/>
  <c r="G21" i="2"/>
  <c r="G22" i="2"/>
  <c r="Q14" i="2" s="1"/>
  <c r="G19" i="2"/>
  <c r="Q8" i="2" s="1"/>
  <c r="R8" i="2" s="1"/>
  <c r="S8" i="2" s="1"/>
  <c r="G18" i="2"/>
  <c r="T44" i="2"/>
  <c r="Q10" i="1"/>
  <c r="R10" i="1" s="1"/>
  <c r="Q16" i="1"/>
  <c r="R16" i="1" s="1"/>
  <c r="S16" i="1" s="1"/>
  <c r="G30" i="1"/>
  <c r="G32" i="1" s="1"/>
  <c r="G29" i="1"/>
  <c r="P46" i="1"/>
  <c r="Q46" i="1" s="1"/>
  <c r="S46" i="1"/>
  <c r="T46" i="1" s="1"/>
  <c r="P51" i="1"/>
  <c r="Q51" i="1" s="1"/>
  <c r="P65" i="1" s="1"/>
  <c r="S51" i="1"/>
  <c r="T51" i="1" s="1"/>
  <c r="T53" i="1"/>
  <c r="P23" i="1"/>
  <c r="Q23" i="1" s="1"/>
  <c r="P21" i="1"/>
  <c r="Q21" i="1" s="1"/>
  <c r="G36" i="3"/>
  <c r="G17" i="3"/>
  <c r="G43" i="1"/>
  <c r="G36" i="1"/>
  <c r="G17" i="1"/>
  <c r="G36" i="4" l="1"/>
  <c r="G39" i="4"/>
  <c r="P32" i="4"/>
  <c r="P22" i="4"/>
  <c r="Q22" i="4" s="1"/>
  <c r="P21" i="4"/>
  <c r="Q21" i="4" s="1"/>
  <c r="P23" i="4"/>
  <c r="Q23" i="4" s="1"/>
  <c r="G16" i="4"/>
  <c r="G18" i="4" s="1"/>
  <c r="G15" i="4"/>
  <c r="G17" i="4" s="1"/>
  <c r="G19" i="4" s="1"/>
  <c r="Q11" i="4"/>
  <c r="R11" i="4" s="1"/>
  <c r="S11" i="4" s="1"/>
  <c r="G33" i="4"/>
  <c r="Q8" i="4"/>
  <c r="R8" i="4" s="1"/>
  <c r="S8" i="4" s="1"/>
  <c r="S10" i="3"/>
  <c r="P37" i="3"/>
  <c r="Q8" i="3"/>
  <c r="R8" i="3" s="1"/>
  <c r="S8" i="3" s="1"/>
  <c r="G33" i="3"/>
  <c r="P47" i="3"/>
  <c r="Q47" i="3" s="1"/>
  <c r="S47" i="3"/>
  <c r="T47" i="3" s="1"/>
  <c r="Q24" i="3"/>
  <c r="Q25" i="3" s="1"/>
  <c r="P45" i="3"/>
  <c r="Q45" i="3" s="1"/>
  <c r="S45" i="3"/>
  <c r="T45" i="3" s="1"/>
  <c r="P31" i="2"/>
  <c r="P21" i="2"/>
  <c r="Q21" i="2" s="1"/>
  <c r="R10" i="2"/>
  <c r="S10" i="2" s="1"/>
  <c r="P20" i="2"/>
  <c r="Q20" i="2" s="1"/>
  <c r="P22" i="2"/>
  <c r="Q22" i="2" s="1"/>
  <c r="G12" i="2"/>
  <c r="G15" i="2"/>
  <c r="P29" i="2"/>
  <c r="P42" i="2" s="1"/>
  <c r="Q42" i="2" s="1"/>
  <c r="P36" i="2"/>
  <c r="Q36" i="2" s="1"/>
  <c r="S10" i="1"/>
  <c r="P37" i="1"/>
  <c r="G33" i="1"/>
  <c r="Q8" i="1"/>
  <c r="R8" i="1" s="1"/>
  <c r="S8" i="1" s="1"/>
  <c r="P47" i="1"/>
  <c r="Q47" i="1" s="1"/>
  <c r="P61" i="1" s="1"/>
  <c r="S47" i="1"/>
  <c r="T47" i="1" s="1"/>
  <c r="P45" i="1"/>
  <c r="Q45" i="1" s="1"/>
  <c r="S45" i="1"/>
  <c r="T45" i="1" s="1"/>
  <c r="Q24" i="1"/>
  <c r="Q25" i="1"/>
  <c r="G38" i="3"/>
  <c r="G40" i="3" s="1"/>
  <c r="G37" i="3"/>
  <c r="Q11" i="3"/>
  <c r="R11" i="3" s="1"/>
  <c r="S11" i="3" s="1"/>
  <c r="G19" i="3"/>
  <c r="G45" i="1"/>
  <c r="G47" i="1" s="1"/>
  <c r="Q9" i="1" s="1"/>
  <c r="R9" i="1" s="1"/>
  <c r="S9" i="1" s="1"/>
  <c r="G44" i="1"/>
  <c r="G38" i="1"/>
  <c r="G40" i="1" s="1"/>
  <c r="Q14" i="1" s="1"/>
  <c r="R14" i="1" s="1"/>
  <c r="S14" i="1" s="1"/>
  <c r="G37" i="1"/>
  <c r="Q11" i="1"/>
  <c r="R11" i="1" s="1"/>
  <c r="S11" i="1" s="1"/>
  <c r="G19" i="1"/>
  <c r="R10" i="4"/>
  <c r="R16" i="4"/>
  <c r="S16" i="4" s="1"/>
  <c r="R15" i="4"/>
  <c r="S15" i="4" s="1"/>
  <c r="P60" i="3"/>
  <c r="P65" i="3"/>
  <c r="P60" i="1"/>
  <c r="R14" i="2"/>
  <c r="S14" i="2" s="1"/>
  <c r="G46" i="4"/>
  <c r="G43" i="4"/>
  <c r="G38" i="4" l="1"/>
  <c r="G40" i="4" s="1"/>
  <c r="Q14" i="4" s="1"/>
  <c r="R14" i="4" s="1"/>
  <c r="S14" i="4" s="1"/>
  <c r="G37" i="4"/>
  <c r="S51" i="4"/>
  <c r="T51" i="4" s="1"/>
  <c r="P51" i="4"/>
  <c r="Q51" i="4" s="1"/>
  <c r="P65" i="4" s="1"/>
  <c r="S46" i="4"/>
  <c r="T46" i="4" s="1"/>
  <c r="P46" i="4"/>
  <c r="Q46" i="4" s="1"/>
  <c r="P60" i="4" s="1"/>
  <c r="Q24" i="4"/>
  <c r="Q25" i="4"/>
  <c r="P45" i="4"/>
  <c r="Q45" i="4" s="1"/>
  <c r="P59" i="4" s="1"/>
  <c r="S45" i="4"/>
  <c r="T45" i="4" s="1"/>
  <c r="P47" i="4"/>
  <c r="Q47" i="4" s="1"/>
  <c r="S47" i="4"/>
  <c r="T47" i="4" s="1"/>
  <c r="S39" i="4"/>
  <c r="P53" i="4"/>
  <c r="P30" i="4"/>
  <c r="P50" i="4" s="1"/>
  <c r="Q50" i="4" s="1"/>
  <c r="P44" i="4"/>
  <c r="Q44" i="4" s="1"/>
  <c r="P38" i="3"/>
  <c r="P52" i="3"/>
  <c r="Q52" i="3" s="1"/>
  <c r="P66" i="3" s="1"/>
  <c r="P44" i="3"/>
  <c r="Q44" i="3" s="1"/>
  <c r="P30" i="3"/>
  <c r="P50" i="3" s="1"/>
  <c r="Q50" i="3" s="1"/>
  <c r="S37" i="3"/>
  <c r="P29" i="3"/>
  <c r="P48" i="3"/>
  <c r="Q48" i="3" s="1"/>
  <c r="S48" i="3"/>
  <c r="T48" i="3" s="1"/>
  <c r="S43" i="2"/>
  <c r="T43" i="2" s="1"/>
  <c r="P43" i="2"/>
  <c r="Q43" i="2" s="1"/>
  <c r="P56" i="2" s="1"/>
  <c r="S38" i="2"/>
  <c r="T38" i="2" s="1"/>
  <c r="P38" i="2"/>
  <c r="Q38" i="2" s="1"/>
  <c r="P51" i="2" s="1"/>
  <c r="P44" i="2"/>
  <c r="S30" i="2"/>
  <c r="Q23" i="2"/>
  <c r="Q24" i="2"/>
  <c r="P37" i="2"/>
  <c r="Q37" i="2" s="1"/>
  <c r="S37" i="2"/>
  <c r="T37" i="2" s="1"/>
  <c r="P39" i="2"/>
  <c r="Q39" i="2" s="1"/>
  <c r="P52" i="2" s="1"/>
  <c r="S39" i="2"/>
  <c r="T39" i="2" s="1"/>
  <c r="G14" i="2"/>
  <c r="G16" i="2" s="1"/>
  <c r="Q13" i="2" s="1"/>
  <c r="R13" i="2" s="1"/>
  <c r="S13" i="2" s="1"/>
  <c r="G13" i="2"/>
  <c r="P38" i="1"/>
  <c r="P52" i="1"/>
  <c r="Q52" i="1" s="1"/>
  <c r="P66" i="1" s="1"/>
  <c r="P30" i="1"/>
  <c r="P50" i="1" s="1"/>
  <c r="Q50" i="1" s="1"/>
  <c r="P44" i="1"/>
  <c r="Q44" i="1" s="1"/>
  <c r="P48" i="1"/>
  <c r="Q48" i="1" s="1"/>
  <c r="S48" i="1"/>
  <c r="T48" i="1" s="1"/>
  <c r="S37" i="1"/>
  <c r="P29" i="1"/>
  <c r="G41" i="3"/>
  <c r="Q14" i="3"/>
  <c r="R14" i="3" s="1"/>
  <c r="S14" i="3" s="1"/>
  <c r="S39" i="3"/>
  <c r="P53" i="3"/>
  <c r="S44" i="1"/>
  <c r="P31" i="1"/>
  <c r="S50" i="1" s="1"/>
  <c r="T50" i="1" s="1"/>
  <c r="P53" i="1"/>
  <c r="S39" i="1"/>
  <c r="P37" i="4"/>
  <c r="S10" i="4"/>
  <c r="G45" i="4"/>
  <c r="G47" i="4" s="1"/>
  <c r="Q9" i="4" s="1"/>
  <c r="R9" i="4" s="1"/>
  <c r="S9" i="4" s="1"/>
  <c r="G44" i="4"/>
  <c r="P61" i="3"/>
  <c r="P59" i="3"/>
  <c r="P59" i="1"/>
  <c r="P31" i="4" l="1"/>
  <c r="S50" i="4" s="1"/>
  <c r="T50" i="4" s="1"/>
  <c r="P64" i="4" s="1"/>
  <c r="S44" i="4"/>
  <c r="P48" i="4"/>
  <c r="Q48" i="4" s="1"/>
  <c r="S48" i="4"/>
  <c r="T48" i="4" s="1"/>
  <c r="P29" i="4"/>
  <c r="S37" i="4"/>
  <c r="Q53" i="4"/>
  <c r="P67" i="4" s="1"/>
  <c r="P49" i="3"/>
  <c r="Q49" i="3" s="1"/>
  <c r="S49" i="3"/>
  <c r="T49" i="3" s="1"/>
  <c r="P33" i="3"/>
  <c r="S38" i="3" s="1"/>
  <c r="Q44" i="2"/>
  <c r="P57" i="2" s="1"/>
  <c r="P40" i="2"/>
  <c r="S40" i="2"/>
  <c r="T40" i="2" s="1"/>
  <c r="P28" i="2"/>
  <c r="S28" i="2"/>
  <c r="P30" i="2"/>
  <c r="S42" i="2" s="1"/>
  <c r="T42" i="2" s="1"/>
  <c r="P55" i="2" s="1"/>
  <c r="S36" i="2"/>
  <c r="P49" i="1"/>
  <c r="Q49" i="1" s="1"/>
  <c r="S49" i="1"/>
  <c r="T49" i="1" s="1"/>
  <c r="P33" i="1"/>
  <c r="S38" i="1" s="1"/>
  <c r="S40" i="1" s="1"/>
  <c r="P31" i="3"/>
  <c r="S50" i="3" s="1"/>
  <c r="T50" i="3" s="1"/>
  <c r="P64" i="3" s="1"/>
  <c r="S44" i="3"/>
  <c r="Q53" i="3"/>
  <c r="P67" i="3" s="1"/>
  <c r="P54" i="3"/>
  <c r="S54" i="1"/>
  <c r="T54" i="1" s="1"/>
  <c r="T44" i="1"/>
  <c r="P58" i="1" s="1"/>
  <c r="Q53" i="1"/>
  <c r="P67" i="1" s="1"/>
  <c r="P54" i="1"/>
  <c r="P38" i="4"/>
  <c r="P52" i="4"/>
  <c r="Q52" i="4" s="1"/>
  <c r="P66" i="4" s="1"/>
  <c r="P50" i="2"/>
  <c r="P64" i="1"/>
  <c r="P62" i="1"/>
  <c r="S40" i="3"/>
  <c r="P61" i="4"/>
  <c r="P62" i="3"/>
  <c r="T44" i="4" l="1"/>
  <c r="P58" i="4" s="1"/>
  <c r="P33" i="4"/>
  <c r="S38" i="4" s="1"/>
  <c r="S40" i="4" s="1"/>
  <c r="P49" i="4"/>
  <c r="S49" i="4"/>
  <c r="P32" i="2"/>
  <c r="S29" i="2" s="1"/>
  <c r="S31" i="2" s="1"/>
  <c r="P41" i="2"/>
  <c r="Q41" i="2" s="1"/>
  <c r="S41" i="2"/>
  <c r="T36" i="2"/>
  <c r="P49" i="2" s="1"/>
  <c r="S54" i="3"/>
  <c r="T54" i="3" s="1"/>
  <c r="T44" i="3"/>
  <c r="P58" i="3" s="1"/>
  <c r="Q54" i="3"/>
  <c r="P55" i="3"/>
  <c r="Q54" i="1"/>
  <c r="P55" i="1"/>
  <c r="P62" i="4"/>
  <c r="P63" i="3"/>
  <c r="P63" i="1"/>
  <c r="P68" i="1"/>
  <c r="Q40" i="2"/>
  <c r="P53" i="2" s="1"/>
  <c r="P45" i="2"/>
  <c r="P54" i="4" l="1"/>
  <c r="Q49" i="4"/>
  <c r="P63" i="4" s="1"/>
  <c r="P68" i="4" s="1"/>
  <c r="Q45" i="2"/>
  <c r="P68" i="3"/>
  <c r="T49" i="4"/>
  <c r="S54" i="4"/>
  <c r="T54" i="4" s="1"/>
  <c r="T41" i="2"/>
  <c r="P54" i="2" s="1"/>
  <c r="P58" i="2" s="1"/>
  <c r="S45" i="2"/>
  <c r="P55" i="4" l="1"/>
  <c r="Q54" i="4"/>
  <c r="T45" i="2"/>
  <c r="P4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tc={2a9b1401-3842-4dd6-92e3-d3f671baeadd}</author>
    <author>tc={883bdb4c-1153-45ed-b2fc-f4aaf2d86cc4}</author>
    <author>tc={7520abb0-c4b5-45c1-b433-0827d87ad9a8}</author>
    <author>tc={bbbe6bdf-9e93-4a10-a462-d8d2d400aaf3}</author>
    <author>tc={b4bed617-34bb-4d7b-8cca-129049d9c818}</author>
    <author>tc={db966b05-5b55-433e-b454-991f728134b6}</author>
    <author>tc={1852bdb6-9cb3-4114-ab77-c55d534b3549}</author>
    <author>tc={d52c0ab3-5c70-4c28-a763-daf6c27e22f2}</author>
    <author>tc={e66b4b84-0ab1-4320-b8e6-87603ed71160}</author>
    <author>tc={55bcbec1-3f52-48ae-8753-44a03cb56c22}</author>
    <author>tc={2780d707-5a65-4d58-a58a-e640aa52763f}</author>
    <author>tc={c75d8d08-3dcf-4dfa-a32b-9790892957f8}</author>
    <author>tc={7bf51647-baaa-463e-9965-e3dfc33ccb5b}</author>
    <author>tc={cc1c22ac-2e29-43b4-b123-13e1bce03652}</author>
    <author>tc={0088e8cb-44b3-4dfc-835d-39cc77e94c34}</author>
    <author>tc={eda99fc4-e486-4424-9add-8cdc40cf2d0d}</author>
  </authors>
  <commentList>
    <comment ref="G2" authorId="0" shapeId="0" xr:uid="{2A9B1401-3842-4DD6-92E3-D3F671BAEAD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CO + 2OH- &gt; CO2 + H2O + 2e
CO2 + 2OH- &gt; CO32 + 2H2O + 2e-</t>
      </text>
    </comment>
    <comment ref="F4" authorId="1" shapeId="0" xr:uid="{883BDB4C-1153-45ED-B2FC-F4AAF2D86CC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Aspen Plus
ELECNRTL method 사용
Solubility 분석 결과
KOH는 석출 안 된다고 가정</t>
      </text>
    </comment>
    <comment ref="K12" authorId="2" shapeId="0" xr:uid="{7520ABB0-C4B5-45C1-B433-0827D87AD9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1.28 [5]</t>
      </text>
    </comment>
    <comment ref="B24" authorId="3" shapeId="0" xr:uid="{BBBE6BDF-9E93-4A10-A462-D8D2D400AA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Linz-Donawitz Gas composition
- 일산화탄소 (CO) 68%
- 질소 (N2) 18%
- 이산화탄소  (CO2) 12%
- 수소 (H2) 2%</t>
      </text>
    </comment>
    <comment ref="M24" authorId="4" shapeId="0" xr:uid="{B4BED617-34BB-4D7B-8CCA-129049D9C81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https://www.fuelcellstore.com/sgl-carbon/sigracet-39-bb-carbon-paper-gdl?ovs=637&amp;manufacturer_id=20</t>
      </text>
    </comment>
    <comment ref="J26" authorId="5" shapeId="0" xr:uid="{DB966B05-5B55-433E-B454-991F728134B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Cell에만 적용</t>
      </text>
    </comment>
    <comment ref="J27" authorId="6" shapeId="0" xr:uid="{1852BDB6-9CB3-4114-AB77-C55D534B35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펌프, 배관, 밸브, 탱크 등 포함</t>
      </text>
    </comment>
    <comment ref="B30" authorId="7" shapeId="0" xr:uid="{D52C0AB3-5C70-4C28-A763-DAF6C27E22F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anode 패러데이 효율을 85% 가정
답글:
    COOR을 통해 생성된 CO2가 100% K+ 이온과 반응한다고 가정.
CO2+2KOH→K2CO3+H2O</t>
      </text>
    </comment>
    <comment ref="J30" authorId="8" shapeId="0" xr:uid="{E66B4B84-0AB1-4320-B8E6-87603ED7116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Operating overhead, Labor-related cost, Selling expense</t>
      </text>
    </comment>
    <comment ref="J32" authorId="9" shapeId="0" xr:uid="{55BCBEC1-3F52-48AE-8753-44A03CB56C2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https://www.iea.org/data-and-statistics/data-product/energy-prices</t>
      </text>
    </comment>
    <comment ref="B41" authorId="10" shapeId="0" xr:uid="{2780D707-5A65-4D58-A58A-E640AA5276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시간 vs 전류밀도 적분해서 구함</t>
      </text>
    </comment>
    <comment ref="B42" authorId="11" shapeId="0" xr:uid="{C75D8D08-3DCF-4DFA-A32B-9790892957F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On-time 때 소비한 전기 양</t>
      </text>
    </comment>
    <comment ref="C42" authorId="12" shapeId="0" xr:uid="{7BF51647-BAAA-463E-9965-E3DFC33CCB5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Anode part 생성물 분석이 진행되지 않아서 anode에서의 K2CO3 생성 효율을 85%으로 가정하겠습니다.</t>
      </text>
    </comment>
    <comment ref="B47" authorId="13" shapeId="0" xr:uid="{CC1C22AC-2E29-43B4-B123-13E1BCE0365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Anode와 Cathode 분리를 위한 멤브레인
답글:
    멤브레인 가격 설정: 180/m2	
https://static-content.springer.com/esm/art%3A10.1038%2Fs41467-024-50446-2/MediaObjects/41467_2024_50446_MOESM1_ESM.pdf</t>
      </text>
    </comment>
    <comment ref="C49" authorId="14" shapeId="0" xr:uid="{0088E8CB-44B3-4DFC-835D-39CC77E94C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7by7</t>
      </text>
    </comment>
    <comment ref="F50" authorId="15" shapeId="0" xr:uid="{EDA99FC4-E486-4424-9ADD-8CDC40CF2D0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Anode에서 물이 생성되는 것과, Cathode에서 물이 소모되는 것은 무시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tc={2dc969d9-5d6a-4cd2-99f8-15051da9de21}</author>
    <author>tc={da185b6a-f57b-485b-8505-403e760d6c34}</author>
    <author>tc={16fbfed2-40b0-4041-8250-4a6cbddfd579}</author>
  </authors>
  <commentList>
    <comment ref="B28" authorId="0" shapeId="0" xr:uid="{2DC969D9-5D6A-4CD2-99F8-15051DA9DE2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패러데이 효율을 85%로 가정하여 계산</t>
      </text>
    </comment>
    <comment ref="B38" authorId="1" shapeId="0" xr:uid="{DA185B6A-F57B-485B-8505-403E760D6C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OER 패러데이 효율을 85%으로 가정
답글:
    2H2O ⟶ 4e− + 4H+ + O2</t>
      </text>
    </comment>
    <comment ref="C38" authorId="2" shapeId="0" xr:uid="{16FBFED2-40B0-4041-8250-4A6CBDDFD5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OER-ORR  energy consumption 추가했습니다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tc={d57fb16c-04e3-4d9b-893e-9f8b1f177a51}</author>
    <author>tc={0c307872-01ae-4136-9932-e0901090a0f0}</author>
  </authors>
  <commentList>
    <comment ref="B30" authorId="0" shapeId="0" xr:uid="{D57FB16C-04E3-4D9B-893E-9F8B1F177A5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생성된 CO32-가 100% K+ 이온과 반응했다고 가정</t>
      </text>
    </comment>
    <comment ref="B41" authorId="1" shapeId="0" xr:uid="{0C307872-01AE-4136-9932-E0901090A0F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85%로 가정</t>
      </text>
    </comment>
  </commentList>
</comments>
</file>

<file path=xl/sharedStrings.xml><?xml version="1.0" encoding="utf-8"?>
<sst xmlns="http://schemas.openxmlformats.org/spreadsheetml/2006/main" count="1427" uniqueCount="248">
  <si>
    <t>System #1</t>
  </si>
  <si>
    <t>Anode</t>
  </si>
  <si>
    <r>
      <rPr>
        <sz val="10"/>
        <color theme="1"/>
        <rFont val="Arial"/>
      </rPr>
      <t>CO + 4OH- -&gt; CO</t>
    </r>
    <r>
      <rPr>
        <sz val="6"/>
        <color theme="1"/>
        <rFont val="Arial"/>
      </rPr>
      <t>3</t>
    </r>
    <r>
      <rPr>
        <sz val="10"/>
        <color theme="1"/>
        <rFont val="Arial"/>
      </rPr>
      <t>2- + 2H2O + 2e-</t>
    </r>
  </si>
  <si>
    <t>Anode (COOR)</t>
  </si>
  <si>
    <t>LDG gas</t>
  </si>
  <si>
    <t>Cathode</t>
  </si>
  <si>
    <t>O2 + H2O + 2e- -&gt; HO2- + OH-</t>
  </si>
  <si>
    <t>Cathode (2e-ORR)</t>
  </si>
  <si>
    <t>O2 gas</t>
  </si>
  <si>
    <t>Solubility K2CO3 at 90% KOH</t>
  </si>
  <si>
    <t>Pulse</t>
  </si>
  <si>
    <t>1.0V + 0.0V</t>
  </si>
  <si>
    <t>KOH mass fraction</t>
  </si>
  <si>
    <t>Base [H2O2 production, kg/y]</t>
  </si>
  <si>
    <t>Basic property</t>
  </si>
  <si>
    <t>K2CO3 separation</t>
  </si>
  <si>
    <t>Economic parameter assumption</t>
  </si>
  <si>
    <t>Element</t>
  </si>
  <si>
    <t>Flow rate[kg/y]</t>
  </si>
  <si>
    <t>Scale-up Flow rate[kg/y]</t>
  </si>
  <si>
    <t>Cost[$/y]</t>
  </si>
  <si>
    <t>Value</t>
  </si>
  <si>
    <t>Unit</t>
  </si>
  <si>
    <t>Parameter</t>
  </si>
  <si>
    <t>Ref</t>
  </si>
  <si>
    <t>Input</t>
  </si>
  <si>
    <t>CO (LDG)</t>
  </si>
  <si>
    <t>Molar mass</t>
  </si>
  <si>
    <t>Material</t>
  </si>
  <si>
    <t>KOH</t>
  </si>
  <si>
    <t>CO</t>
  </si>
  <si>
    <t>g/mol</t>
  </si>
  <si>
    <t>H2O, after rxn</t>
  </si>
  <si>
    <t>g/hr</t>
  </si>
  <si>
    <t>LDG</t>
  </si>
  <si>
    <t>$/kg</t>
  </si>
  <si>
    <t>Assume</t>
  </si>
  <si>
    <t>H2O</t>
  </si>
  <si>
    <t>O2</t>
  </si>
  <si>
    <t>KOH, after rxn</t>
  </si>
  <si>
    <t>[6]</t>
  </si>
  <si>
    <t>Output</t>
  </si>
  <si>
    <t>K2CO3</t>
  </si>
  <si>
    <t>K2CO3, after rxn</t>
  </si>
  <si>
    <t>Echemi</t>
  </si>
  <si>
    <t>Separation mass balance</t>
  </si>
  <si>
    <t>[5]</t>
  </si>
  <si>
    <t>H2O, remained</t>
  </si>
  <si>
    <t>H2O2</t>
  </si>
  <si>
    <t>K2CO3, remained</t>
  </si>
  <si>
    <t>[2]</t>
  </si>
  <si>
    <t>Density</t>
  </si>
  <si>
    <t>H2O, evaporated</t>
  </si>
  <si>
    <t>Capital cost</t>
  </si>
  <si>
    <t>g/L</t>
  </si>
  <si>
    <t>K2CO3, separated</t>
  </si>
  <si>
    <t>Lifetime (cell)</t>
  </si>
  <si>
    <t>yr</t>
  </si>
  <si>
    <t>[3]</t>
  </si>
  <si>
    <t>H2O, evaporation</t>
  </si>
  <si>
    <t>%</t>
  </si>
  <si>
    <t>Lifetime (Electrode &amp; Membrane)</t>
  </si>
  <si>
    <t>K2CO3, separation</t>
  </si>
  <si>
    <t>Operating hour</t>
  </si>
  <si>
    <t>hr/yr</t>
  </si>
  <si>
    <t>[1, 2, 7]</t>
  </si>
  <si>
    <t>Capital cost calculation</t>
  </si>
  <si>
    <t>Discount rate</t>
  </si>
  <si>
    <t>Equipment</t>
  </si>
  <si>
    <t>Cost[$]</t>
  </si>
  <si>
    <t>Experimental conditions</t>
  </si>
  <si>
    <t>Recycle assumption</t>
  </si>
  <si>
    <t>CRF (cell)</t>
  </si>
  <si>
    <t>1/yr</t>
  </si>
  <si>
    <t>Electrolyzer (cell)</t>
  </si>
  <si>
    <t>CRF (Electrode &amp; Membrane)</t>
  </si>
  <si>
    <t>Electrode</t>
  </si>
  <si>
    <t>Feedstock feed rate calculation</t>
  </si>
  <si>
    <t>$/m2</t>
  </si>
  <si>
    <t>Membrane</t>
  </si>
  <si>
    <t>Simulating LDG gas</t>
  </si>
  <si>
    <t>mL/min</t>
  </si>
  <si>
    <t>Fuel cell store</t>
  </si>
  <si>
    <t>BoP</t>
  </si>
  <si>
    <t>Nafion 117</t>
  </si>
  <si>
    <t>[1, 2]</t>
  </si>
  <si>
    <t>Total annual CAPEX[$/y]</t>
  </si>
  <si>
    <t>M</t>
  </si>
  <si>
    <t>mol of CO</t>
  </si>
  <si>
    <t>mol/hr</t>
  </si>
  <si>
    <t>Installation factor (cell)</t>
  </si>
  <si>
    <t>-</t>
  </si>
  <si>
    <t>[1]</t>
  </si>
  <si>
    <t>H2O (Anode)</t>
  </si>
  <si>
    <t>mL/hr</t>
  </si>
  <si>
    <t>mol of K2CO3 production</t>
  </si>
  <si>
    <t>% of Electrolyzer system</t>
  </si>
  <si>
    <t>Operating cost calculation</t>
  </si>
  <si>
    <t>H2O (Cathode)</t>
  </si>
  <si>
    <t>mol of CO, unreacted</t>
  </si>
  <si>
    <t>Operating cost</t>
  </si>
  <si>
    <t>mol of CO, recycle</t>
  </si>
  <si>
    <t>Maintenance cost</t>
  </si>
  <si>
    <t>% of CAPEX</t>
  </si>
  <si>
    <t>mol</t>
  </si>
  <si>
    <t>mol of CO, purge</t>
  </si>
  <si>
    <t>Other OPEX</t>
  </si>
  <si>
    <t>% of Raw materials</t>
  </si>
  <si>
    <t>Other OPEX (Anode)</t>
  </si>
  <si>
    <t>g</t>
  </si>
  <si>
    <t>mol of CO, consumption</t>
  </si>
  <si>
    <t>Utilities</t>
  </si>
  <si>
    <t>Other OPEX (Cathode)</t>
  </si>
  <si>
    <t>mol of CO, feed</t>
  </si>
  <si>
    <t>Electricity</t>
  </si>
  <si>
    <t>$/kWh</t>
  </si>
  <si>
    <t>[8]</t>
  </si>
  <si>
    <t>`</t>
  </si>
  <si>
    <t>Electrochemical performance (system #1)</t>
  </si>
  <si>
    <t>mol of LDG, feed</t>
  </si>
  <si>
    <t>Separation (Anode)</t>
  </si>
  <si>
    <t>Total annual OPEX</t>
  </si>
  <si>
    <t>mol of O2</t>
  </si>
  <si>
    <t>Low pressure steam</t>
  </si>
  <si>
    <t>$/kg LPS</t>
  </si>
  <si>
    <t>Aspen V14 data</t>
  </si>
  <si>
    <t>On-time (1.0 Vcell)</t>
  </si>
  <si>
    <t>hrs</t>
  </si>
  <si>
    <t>mol of H2O2 production</t>
  </si>
  <si>
    <t>LPS requirement</t>
  </si>
  <si>
    <t>kg LPS/ kg Water</t>
  </si>
  <si>
    <t>Separation cost calculation</t>
  </si>
  <si>
    <t>Profit calculation</t>
  </si>
  <si>
    <t>Off-time (0.0Vcell)</t>
  </si>
  <si>
    <t>mol of O2, unreacted</t>
  </si>
  <si>
    <t>Total electrolysis time</t>
  </si>
  <si>
    <t>mol of O2, recycle</t>
  </si>
  <si>
    <t>CAPEX</t>
  </si>
  <si>
    <t>Electrode area</t>
  </si>
  <si>
    <t>cm2</t>
  </si>
  <si>
    <t>mol of O2, purge</t>
  </si>
  <si>
    <t>Total separation cost</t>
  </si>
  <si>
    <t>OPEX</t>
  </si>
  <si>
    <t>Energy consumption</t>
  </si>
  <si>
    <t>kWh</t>
  </si>
  <si>
    <t>mol of O2, consumption</t>
  </si>
  <si>
    <t>Revenue</t>
  </si>
  <si>
    <t>Current density</t>
  </si>
  <si>
    <t>105~85</t>
  </si>
  <si>
    <t>mA/cm2</t>
  </si>
  <si>
    <t>mol of O2, feed</t>
  </si>
  <si>
    <t>Profit</t>
  </si>
  <si>
    <t>전하량 (Quantity of Electric Charge)</t>
  </si>
  <si>
    <t>C</t>
  </si>
  <si>
    <t>mol of KOH</t>
  </si>
  <si>
    <t>Faradaic efficiency (Anode)</t>
  </si>
  <si>
    <t>Cost breakdown</t>
  </si>
  <si>
    <t>Faradaic efficiency (Cathode)</t>
  </si>
  <si>
    <t>mol of KOH, unreacted</t>
  </si>
  <si>
    <t>Cost element (Anode)</t>
  </si>
  <si>
    <t>Cost ($/y)</t>
  </si>
  <si>
    <t>Cost($/kg H2O2)</t>
  </si>
  <si>
    <t>Cost element (Cathode)</t>
  </si>
  <si>
    <t>mol of KOH, recycle</t>
  </si>
  <si>
    <t>Raw material</t>
  </si>
  <si>
    <t>Equipment Information</t>
  </si>
  <si>
    <t>mol of KOH, purge</t>
  </si>
  <si>
    <t>mol of KOH, consumption</t>
  </si>
  <si>
    <t>mol of KOH, feed</t>
  </si>
  <si>
    <t>mol of H2O</t>
  </si>
  <si>
    <t>mol of H2O, purge</t>
  </si>
  <si>
    <t>Peristaltic pump</t>
  </si>
  <si>
    <t>EA</t>
  </si>
  <si>
    <t>mol of H2O, feed</t>
  </si>
  <si>
    <t>Gas flow rate meter</t>
  </si>
  <si>
    <t>Potentiostat</t>
  </si>
  <si>
    <t>Separation</t>
  </si>
  <si>
    <t>Total Profit</t>
  </si>
  <si>
    <t>MSP Calculation [$/kg H2O2]</t>
  </si>
  <si>
    <t>MSP of H2O2 [$/kg H2O2]</t>
  </si>
  <si>
    <t>System #2</t>
  </si>
  <si>
    <t>4OH- -&gt; O2 + 2H2O + 4e-</t>
  </si>
  <si>
    <t>Anode (OER)</t>
  </si>
  <si>
    <t>1.5V</t>
  </si>
  <si>
    <t>mol of O2 (Cathode)</t>
  </si>
  <si>
    <t>mol of KOH (Anode)</t>
  </si>
  <si>
    <t>mol of KOH (Anode), recycle</t>
  </si>
  <si>
    <t>mol of KOH (Anode), purge</t>
  </si>
  <si>
    <t>mol of KOH (Cathode)</t>
  </si>
  <si>
    <t>System #3</t>
  </si>
  <si>
    <t>mol of KOH (Cathode), recycle</t>
  </si>
  <si>
    <t>OER</t>
  </si>
  <si>
    <t>mol of KOH (Cathode), purge</t>
  </si>
  <si>
    <t>O2 gas - 2e- ORR</t>
  </si>
  <si>
    <t>1.5 V</t>
  </si>
  <si>
    <t>Electrochemical performance (system #2)</t>
  </si>
  <si>
    <r>
      <rPr>
        <sz val="10"/>
        <color theme="1"/>
        <rFont val="Arial"/>
      </rPr>
      <t>On-time (</t>
    </r>
    <r>
      <rPr>
        <sz val="10"/>
        <color theme="1"/>
        <rFont val="Arial"/>
      </rPr>
      <t>1.5 Vcell</t>
    </r>
    <r>
      <rPr>
        <sz val="10"/>
        <color theme="1"/>
        <rFont val="Arial"/>
      </rPr>
      <t>)</t>
    </r>
  </si>
  <si>
    <t>Off-time (0.0 Vcell)</t>
  </si>
  <si>
    <r>
      <rPr>
        <sz val="10"/>
        <color theme="1"/>
        <rFont val="Arial"/>
      </rPr>
      <t>CO + 4OH- -&gt; CO</t>
    </r>
    <r>
      <rPr>
        <sz val="6"/>
        <color theme="1"/>
        <rFont val="Arial"/>
      </rPr>
      <t>3</t>
    </r>
    <r>
      <rPr>
        <sz val="10"/>
        <color theme="1"/>
        <rFont val="Arial"/>
      </rPr>
      <t>2- + 2H2O + 2e-</t>
    </r>
  </si>
  <si>
    <t>0V</t>
  </si>
  <si>
    <t>Air</t>
  </si>
  <si>
    <t>O2 (Air)</t>
  </si>
  <si>
    <t>LDG gas - COOR</t>
  </si>
  <si>
    <t>Air gas - 2e- ORR</t>
  </si>
  <si>
    <t>0.0V</t>
  </si>
  <si>
    <t>mol of Air, feed</t>
  </si>
  <si>
    <r>
      <rPr>
        <sz val="10"/>
        <color theme="1"/>
        <rFont val="Arial"/>
      </rPr>
      <t>CO + 4OH- -&gt; CO</t>
    </r>
    <r>
      <rPr>
        <sz val="6"/>
        <color theme="1"/>
        <rFont val="Arial"/>
      </rPr>
      <t>3</t>
    </r>
    <r>
      <rPr>
        <sz val="10"/>
        <color theme="1"/>
        <rFont val="Arial"/>
      </rPr>
      <t>2- + 2H2O + 2e-</t>
    </r>
  </si>
  <si>
    <t>COOR</t>
  </si>
  <si>
    <t>CO gas</t>
  </si>
  <si>
    <t>2e-ORR</t>
  </si>
  <si>
    <t>Sun, Y., Fan, K., Li, J., Wang, L., Yang, Y., Li, Z., ... &amp; Duan, X. (2024). Boosting electrochemical oxygen reduction to hydrogen peroxide coupled with organic oxidation. Nature Communications, 15(1), 6098.</t>
  </si>
  <si>
    <t>Qi, J., Du, Y., Yang, Q., Jiang, N., Li, J., Ma, Y., ... &amp; Qiu, J. (2023). Energy-saving and product-oriented hydrogen peroxide electrosynthesis enabled by electrochemistry pairing and product engineering. Nature Communications, 14(1), 6263.</t>
  </si>
  <si>
    <t>Nie, J., Jiang, Q., Sang, Z., Zheng, M., Li, Z., Liu, W., ... &amp; Liang, J. (2025). Accelerating water dissociation to achieve ampere-level hydrogen peroxide electrosynthesis in brine and seawater. Nature Communications, 16(1), 5895.</t>
  </si>
  <si>
    <t>[4]</t>
  </si>
  <si>
    <t>Qianyi Li, Zhihao Nie, Wenqiang Wu, Hongxin Guan, Baokai Xia, Qi Huang, Jingjing Duan, Sheng Chen (2025) . Water Spillover to Expedite Two-Electron Oxygen Reduction. Advanced Materials, 37(8), 2412039</t>
  </si>
  <si>
    <t>https://advanced.onlinelibrary.wiley.com/doi/10.1002/adma.202412039</t>
  </si>
  <si>
    <t>Liu, WJ., Xu, Z., Zhao, D. et al. Efficient electrochemical production of glucaric acid and H2 via glucose electrolysis. Nat Commun 11, 265 (2020). https://doi.org/10.1038/s41467-019-14157-3</t>
  </si>
  <si>
    <t>Na, J., Seo, B., Kim, J. et al. General technoeconomic analysis for electrochemical coproduction coupling carbon dioxide reduction with organic oxidation. Nat Commun 10, 5193 (2019). https://doi.org/10.1038/s41467-019-12744-y</t>
  </si>
  <si>
    <t>[7]</t>
  </si>
  <si>
    <t>Wang, Q., Sang, Z., Liu, W., Li, Z., Li, J., Nie, J., ... &amp; Liang, J. (2025). Industrial‐Level H2O2 Electrosynthesis via Defect‐Induced Strain in Laser‐Fabricated Nickel‐Carbon Catalysts and Gas‐Diffusion Electrodes. Advanced Functional Materials, 35(40), 2502458.</t>
  </si>
  <si>
    <t>https://www.iea.org/data-and-statistics/data-product/energy-prices</t>
  </si>
  <si>
    <t>H2O2 Market price</t>
  </si>
  <si>
    <t>1200 $ / ton H2O2 (H2O2 100wt%)</t>
  </si>
  <si>
    <t>[9]</t>
  </si>
  <si>
    <t>Nature Catalysis volume 6, pages234–243 (2023)</t>
  </si>
  <si>
    <t>https://www.nature.com/articles/s41929-023-00924-5</t>
  </si>
  <si>
    <t>Material Price</t>
  </si>
  <si>
    <t>ref</t>
  </si>
  <si>
    <t>CO (2023)</t>
  </si>
  <si>
    <t>CO (2024)</t>
  </si>
  <si>
    <t>CO (2025)</t>
  </si>
  <si>
    <t>O2 (2023)</t>
  </si>
  <si>
    <t>O2 (2024)</t>
  </si>
  <si>
    <t>O2 (2025)</t>
  </si>
  <si>
    <t>https://www.imarcgroup.com/oxygen-pricing-report</t>
  </si>
  <si>
    <t>https://static-content.springer.com/esm/art%3A10.1038%2Fs41467-024-50446-2/MediaObjects/41467_2024_50446_MOESM1_ESM.pdf</t>
  </si>
  <si>
    <t>KOH (2023)</t>
  </si>
  <si>
    <t>KOH (2024)</t>
  </si>
  <si>
    <t>KOH (2025)</t>
  </si>
  <si>
    <t>https://www.sigmaaldrich.com/US/en/search/koh?focus=products&amp;page=1&amp;perpage=30&amp;sort=relevance&amp;term=KOH&amp;type=product</t>
  </si>
  <si>
    <t>K2CO3 (2023)</t>
  </si>
  <si>
    <t>K2CO3 (2024)</t>
  </si>
  <si>
    <t>K2CO3 (2025)</t>
  </si>
  <si>
    <t>https://www.sigmaaldrich.com/US/en/product/mm/104928</t>
  </si>
  <si>
    <t>H2O2 (2023)</t>
  </si>
  <si>
    <t>H2O2 (2024)</t>
  </si>
  <si>
    <t>H2O2 (2025)</t>
  </si>
  <si>
    <t>출처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</si>
</sst>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#,##0.0000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rgb="FF222222"/>
      <name val="Arial"/>
    </font>
    <font>
      <u/>
      <sz val="10"/>
      <color rgb="FF0000FF"/>
      <name val="Arial"/>
    </font>
    <font>
      <u/>
      <sz val="10"/>
      <color rgb="FF222222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sz val="6"/>
      <color theme="1"/>
      <name val="Arial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4" fontId="1" fillId="0" borderId="0" xfId="0" applyNumberFormat="1" applyFont="1"/>
    <xf numFmtId="0" fontId="1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4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4" fontId="1" fillId="5" borderId="3" xfId="0" applyNumberFormat="1" applyFont="1" applyFill="1" applyBorder="1" applyAlignment="1">
      <alignment horizontal="center" vertical="center"/>
    </xf>
    <xf numFmtId="4" fontId="1" fillId="0" borderId="3" xfId="0" applyNumberFormat="1" applyFont="1" applyBorder="1" applyAlignment="1">
      <alignment vertical="center"/>
    </xf>
    <xf numFmtId="0" fontId="1" fillId="5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6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4" fontId="2" fillId="4" borderId="7" xfId="0" applyNumberFormat="1" applyFont="1" applyFill="1" applyBorder="1" applyAlignment="1">
      <alignment horizontal="center" vertical="center"/>
    </xf>
    <xf numFmtId="4" fontId="1" fillId="5" borderId="8" xfId="0" applyNumberFormat="1" applyFont="1" applyFill="1" applyBorder="1" applyAlignment="1">
      <alignment horizontal="center" vertical="center"/>
    </xf>
    <xf numFmtId="4" fontId="1" fillId="0" borderId="8" xfId="0" applyNumberFormat="1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0" fontId="2" fillId="6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4" fontId="1" fillId="5" borderId="5" xfId="0" applyNumberFormat="1" applyFont="1" applyFill="1" applyBorder="1" applyAlignment="1">
      <alignment horizontal="center" vertical="center"/>
    </xf>
    <xf numFmtId="4" fontId="1" fillId="0" borderId="5" xfId="0" applyNumberFormat="1" applyFont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10" fontId="2" fillId="0" borderId="3" xfId="0" applyNumberFormat="1" applyFont="1" applyBorder="1" applyAlignment="1">
      <alignment horizontal="right"/>
    </xf>
    <xf numFmtId="10" fontId="1" fillId="2" borderId="3" xfId="0" applyNumberFormat="1" applyFont="1" applyFill="1" applyBorder="1" applyAlignment="1">
      <alignment horizontal="right"/>
    </xf>
    <xf numFmtId="4" fontId="2" fillId="4" borderId="7" xfId="0" applyNumberFormat="1" applyFont="1" applyFill="1" applyBorder="1" applyAlignment="1">
      <alignment horizontal="center"/>
    </xf>
    <xf numFmtId="10" fontId="1" fillId="0" borderId="3" xfId="0" applyNumberFormat="1" applyFont="1" applyBorder="1"/>
    <xf numFmtId="4" fontId="1" fillId="2" borderId="3" xfId="0" applyNumberFormat="1" applyFont="1" applyFill="1" applyBorder="1" applyAlignment="1">
      <alignment horizontal="right"/>
    </xf>
    <xf numFmtId="4" fontId="1" fillId="5" borderId="3" xfId="0" applyNumberFormat="1" applyFont="1" applyFill="1" applyBorder="1" applyAlignment="1">
      <alignment horizontal="center"/>
    </xf>
    <xf numFmtId="4" fontId="1" fillId="0" borderId="3" xfId="0" applyNumberFormat="1" applyFont="1" applyBorder="1"/>
    <xf numFmtId="4" fontId="1" fillId="0" borderId="3" xfId="0" applyNumberFormat="1" applyFont="1" applyBorder="1" applyAlignment="1">
      <alignment horizontal="right"/>
    </xf>
    <xf numFmtId="4" fontId="1" fillId="0" borderId="5" xfId="0" applyNumberFormat="1" applyFont="1" applyBorder="1"/>
    <xf numFmtId="4" fontId="2" fillId="0" borderId="8" xfId="0" applyNumberFormat="1" applyFont="1" applyBorder="1"/>
    <xf numFmtId="10" fontId="1" fillId="0" borderId="3" xfId="0" applyNumberFormat="1" applyFont="1" applyBorder="1" applyAlignment="1">
      <alignment horizontal="right"/>
    </xf>
    <xf numFmtId="4" fontId="2" fillId="4" borderId="3" xfId="0" applyNumberFormat="1" applyFont="1" applyFill="1" applyBorder="1" applyAlignment="1">
      <alignment horizontal="center"/>
    </xf>
    <xf numFmtId="4" fontId="1" fillId="6" borderId="3" xfId="0" applyNumberFormat="1" applyFont="1" applyFill="1" applyBorder="1" applyAlignment="1">
      <alignment horizontal="center"/>
    </xf>
    <xf numFmtId="176" fontId="1" fillId="0" borderId="3" xfId="0" applyNumberFormat="1" applyFont="1" applyBorder="1"/>
    <xf numFmtId="0" fontId="2" fillId="5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4" fontId="1" fillId="6" borderId="5" xfId="0" applyNumberFormat="1" applyFont="1" applyFill="1" applyBorder="1" applyAlignment="1">
      <alignment horizontal="center"/>
    </xf>
    <xf numFmtId="4" fontId="2" fillId="6" borderId="8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177" fontId="1" fillId="0" borderId="3" xfId="0" applyNumberFormat="1" applyFont="1" applyBorder="1" applyAlignment="1">
      <alignment horizontal="right"/>
    </xf>
    <xf numFmtId="0" fontId="2" fillId="5" borderId="3" xfId="0" applyFont="1" applyFill="1" applyBorder="1" applyAlignment="1">
      <alignment horizontal="center"/>
    </xf>
    <xf numFmtId="4" fontId="2" fillId="0" borderId="3" xfId="0" applyNumberFormat="1" applyFont="1" applyBorder="1"/>
    <xf numFmtId="0" fontId="2" fillId="5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4" fontId="2" fillId="0" borderId="5" xfId="0" applyNumberFormat="1" applyFont="1" applyBorder="1"/>
    <xf numFmtId="0" fontId="2" fillId="6" borderId="8" xfId="0" applyFont="1" applyFill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4" fontId="2" fillId="4" borderId="8" xfId="0" applyNumberFormat="1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176" fontId="1" fillId="0" borderId="3" xfId="0" applyNumberFormat="1" applyFont="1" applyBorder="1" applyAlignment="1">
      <alignment horizontal="right"/>
    </xf>
    <xf numFmtId="0" fontId="1" fillId="7" borderId="0" xfId="0" applyFont="1" applyFill="1" applyAlignment="1">
      <alignment horizontal="center"/>
    </xf>
    <xf numFmtId="0" fontId="1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10" fontId="1" fillId="2" borderId="3" xfId="0" applyNumberFormat="1" applyFont="1" applyFill="1" applyBorder="1" applyAlignment="1">
      <alignment horizontal="right" vertical="center"/>
    </xf>
    <xf numFmtId="4" fontId="1" fillId="2" borderId="3" xfId="0" applyNumberFormat="1" applyFont="1" applyFill="1" applyBorder="1" applyAlignment="1">
      <alignment horizontal="right" vertical="center"/>
    </xf>
    <xf numFmtId="4" fontId="1" fillId="0" borderId="3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0" fontId="1" fillId="0" borderId="3" xfId="0" applyNumberFormat="1" applyFont="1" applyBorder="1" applyAlignment="1">
      <alignment horizontal="right" vertical="center"/>
    </xf>
    <xf numFmtId="0" fontId="4" fillId="7" borderId="0" xfId="0" applyFont="1" applyFill="1" applyAlignment="1">
      <alignment horizontal="left"/>
    </xf>
    <xf numFmtId="0" fontId="5" fillId="0" borderId="0" xfId="0" applyFont="1"/>
    <xf numFmtId="0" fontId="6" fillId="7" borderId="0" xfId="0" applyFont="1" applyFill="1" applyAlignment="1">
      <alignment horizontal="left"/>
    </xf>
    <xf numFmtId="0" fontId="7" fillId="0" borderId="0" xfId="0" applyFont="1"/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/>
    <xf numFmtId="0" fontId="1" fillId="5" borderId="5" xfId="0" applyFont="1" applyFill="1" applyBorder="1"/>
    <xf numFmtId="0" fontId="1" fillId="5" borderId="8" xfId="0" applyFont="1" applyFill="1" applyBorder="1"/>
    <xf numFmtId="0" fontId="1" fillId="0" borderId="8" xfId="0" applyFont="1" applyBorder="1"/>
    <xf numFmtId="0" fontId="8" fillId="0" borderId="3" xfId="0" applyFont="1" applyBorder="1"/>
    <xf numFmtId="0" fontId="9" fillId="0" borderId="5" xfId="0" applyFont="1" applyBorder="1"/>
    <xf numFmtId="0" fontId="10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1" fillId="0" borderId="1" xfId="0" applyFont="1" applyBorder="1"/>
    <xf numFmtId="0" fontId="2" fillId="4" borderId="1" xfId="0" applyFont="1" applyFill="1" applyBorder="1" applyAlignment="1">
      <alignment horizontal="center"/>
    </xf>
    <xf numFmtId="0" fontId="3" fillId="0" borderId="4" xfId="0" applyFont="1" applyBorder="1"/>
    <xf numFmtId="4" fontId="2" fillId="4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4" fontId="2" fillId="4" borderId="1" xfId="0" applyNumberFormat="1" applyFont="1" applyFill="1" applyBorder="1" applyAlignment="1">
      <alignment horizontal="center"/>
    </xf>
    <xf numFmtId="4" fontId="2" fillId="0" borderId="1" xfId="0" applyNumberFormat="1" applyFont="1" applyBorder="1"/>
    <xf numFmtId="0" fontId="1" fillId="6" borderId="1" xfId="0" applyFont="1" applyFill="1" applyBorder="1" applyAlignment="1">
      <alignment horizontal="center"/>
    </xf>
    <xf numFmtId="4" fontId="1" fillId="5" borderId="9" xfId="0" applyNumberFormat="1" applyFont="1" applyFill="1" applyBorder="1" applyAlignment="1">
      <alignment horizontal="center"/>
    </xf>
    <xf numFmtId="0" fontId="3" fillId="0" borderId="10" xfId="0" applyFont="1" applyBorder="1"/>
    <xf numFmtId="4" fontId="2" fillId="4" borderId="11" xfId="0" applyNumberFormat="1" applyFont="1" applyFill="1" applyBorder="1" applyAlignment="1">
      <alignment horizontal="center"/>
    </xf>
    <xf numFmtId="0" fontId="3" fillId="0" borderId="12" xfId="0" applyFont="1" applyBorder="1"/>
    <xf numFmtId="4" fontId="2" fillId="4" borderId="6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8"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67</xdr:row>
      <xdr:rowOff>0</xdr:rowOff>
    </xdr:from>
    <xdr:ext cx="7267575" cy="314325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ppeal pse" id="{1384EF2D-527D-4AF4-8FF0-101800335F02}" userId="" providerId="google-sheets"/>
  <person displayName="eunseul kong" id="{3D3A634B-C08C-48A7-9204-29D6E7711D8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4-20T02:53:50.00" personId="{1384EF2D-527D-4AF4-8FF0-101800335F02}" id="{2A9B1401-3842-4DD6-92E3-D3F671BAEADD}">
    <text>CO + 2OH- &gt; CO2 + H2O + 2e
CO2 + 2OH- &gt; CO32 + 2H2O + 2e-</text>
  </threadedComment>
  <threadedComment ref="F4" dT="2026-04-25T04:37:58.00" personId="{1384EF2D-527D-4AF4-8FF0-101800335F02}" id="{883BDB4C-1153-45ED-B2FC-F4AAF2D86CC4}">
    <text>Aspen Plus
ELECNRTL method 사용
Solubility 분석 결과
KOH는 석출 안 된다고 가정</text>
  </threadedComment>
  <threadedComment ref="K12" dT="2026-04-14T04:08:49.00" personId="{1384EF2D-527D-4AF4-8FF0-101800335F02}" id="{7520ABB0-C4B5-45C1-B433-0827D87AD9A8}">
    <text>1.28 [5]</text>
  </threadedComment>
  <threadedComment ref="B24" dT="2026-04-09T01:42:42.00" personId="{3D3A634B-C08C-48A7-9204-29D6E7711D86}" id="{BBBE6BDF-9E93-4A10-A462-D8D2D400AAF3}">
    <text>Linz-Donawitz Gas composition
- 일산화탄소 (CO) 68%
- 질소 (N2) 18%
- 이산화탄소  (CO2) 12%
- 수소 (H2) 2%</text>
  </threadedComment>
  <threadedComment ref="M24" dT="2026-04-13T00:20:50.00" personId="{1384EF2D-527D-4AF4-8FF0-101800335F02}" id="{B4BED617-34BB-4D7B-8CCA-129049D9C818}">
    <text>https://www.fuelcellstore.com/sgl-carbon/sigracet-39-bb-carbon-paper-gdl?ovs=637&amp;manufacturer_id=20</text>
    <extLst>
      <x:ext xmlns:xltc2="http://schemas.microsoft.com/office/spreadsheetml/2020/threadedcomments2" uri="{F7C98A9C-CBB3-438F-8F68-D28B6AF4A901}">
        <xltc2:checksum>926658627</xltc2:checksum>
        <xltc2:hyperlink startIndex="0" length="99" url="https://www.fuelcellstore.com/sgl-carbon/sigracet-39-bb-carbon-paper-gdl?ovs=637&amp;manufacturer_id=20"/>
      </x:ext>
    </extLst>
  </threadedComment>
  <threadedComment ref="J26" dT="2026-04-13T00:29:33.00" personId="{1384EF2D-527D-4AF4-8FF0-101800335F02}" id="{DB966B05-5B55-433E-B454-991F728134B6}">
    <text>Cell에만 적용</text>
  </threadedComment>
  <threadedComment ref="J27" dT="2026-04-10T02:13:36.00" personId="{1384EF2D-527D-4AF4-8FF0-101800335F02}" id="{1852BDB6-9CB3-4114-AB77-C55D534B3549}">
    <text>펌프, 배관, 밸브, 탱크 등 포함</text>
  </threadedComment>
  <threadedComment ref="B30" dT="2026-04-09T07:19:05.00" personId="{3D3A634B-C08C-48A7-9204-29D6E7711D86}" id="{D52C0AB3-5C70-4C28-A763-DAF6C27E22F2}">
    <text>anode 패러데이 효율을 85% 가정</text>
  </threadedComment>
  <threadedComment ref="B30" dT="2026-04-09T07:19:36.00" personId="{3D3A634B-C08C-48A7-9204-29D6E7711D86}" id="{5287F5D6-8F99-4BC1-A0B8-0E969B3B3924}" parentId="{D52C0AB3-5C70-4C28-A763-DAF6C27E22F2}">
    <text>COOR을 통해 생성된 CO2가 100% K+ 이온과 반응한다고 가정.
CO2+2KOH→K2CO3+H2O</text>
  </threadedComment>
  <threadedComment ref="J30" dT="2026-04-19T07:26:49.00" personId="{1384EF2D-527D-4AF4-8FF0-101800335F02}" id="{E66B4B84-0AB1-4320-B8E6-87603ED71160}">
    <text>Operating overhead, Labor-related cost, Selling expense</text>
  </threadedComment>
  <threadedComment ref="J32" dT="2026-04-25T12:03:30.00" personId="{1384EF2D-527D-4AF4-8FF0-101800335F02}" id="{55BCBEC1-3F52-48AE-8753-44A03CB56C22}">
    <text>https://www.iea.org/data-and-statistics/data-product/energy-prices</text>
    <extLst>
      <x:ext xmlns:xltc2="http://schemas.microsoft.com/office/spreadsheetml/2020/threadedcomments2" uri="{F7C98A9C-CBB3-438F-8F68-D28B6AF4A901}">
        <xltc2:checksum>860559551</xltc2:checksum>
        <xltc2:hyperlink startIndex="0" length="66" url="https://www.iea.org/data-and-statistics/data-product/energy-prices"/>
      </x:ext>
    </extLst>
  </threadedComment>
  <threadedComment ref="B41" dT="2026-04-21T02:51:45.00" personId="{1384EF2D-527D-4AF4-8FF0-101800335F02}" id="{2780D707-5A65-4D58-A58A-E640AA52763F}">
    <text>시간 vs 전류밀도 적분해서 구함</text>
  </threadedComment>
  <threadedComment ref="B42" dT="2026-04-09T06:01:44.00" personId="{3D3A634B-C08C-48A7-9204-29D6E7711D86}" id="{C75D8D08-3DCF-4DFA-A32B-9790892957F8}">
    <text>On-time 때 소비한 전기 양</text>
  </threadedComment>
  <threadedComment ref="C42" dT="2026-04-09T05:58:54.00" personId="{3D3A634B-C08C-48A7-9204-29D6E7711D86}" id="{7BF51647-BAAA-463E-9965-E3DFC33CCB5B}">
    <text>Anode part 생성물 분석이 진행되지 않아서 anode에서의 K2CO3 생성 효율을 85%으로 가정하겠습니다.</text>
  </threadedComment>
  <threadedComment ref="B47" dT="2026-04-09T01:45:42.00" personId="{3D3A634B-C08C-48A7-9204-29D6E7711D86}" id="{CC1C22AC-2E29-43B4-B123-13E1BCE03652}">
    <text>Anode와 Cathode 분리를 위한 멤브레인</text>
  </threadedComment>
  <threadedComment ref="B47" dT="2026-04-09T02:31:31.00" personId="{3D3A634B-C08C-48A7-9204-29D6E7711D86}" id="{7C13CEC3-5F8E-4ACB-AEF8-A9E3D4E493E8}" parentId="{CC1C22AC-2E29-43B4-B123-13E1BCE03652}">
    <text>멤브레인 가격 설정: 180/m2	
https://static-content.springer.com/esm/art%3A10.1038%2Fs41467-024-50446-2/MediaObjects/41467_2024_50446_MOESM1_ESM.pdf</text>
    <extLst>
      <x:ext xmlns:xltc2="http://schemas.microsoft.com/office/spreadsheetml/2020/threadedcomments2" uri="{F7C98A9C-CBB3-438F-8F68-D28B6AF4A901}">
        <xltc2:checksum>2610156754</xltc2:checksum>
        <xltc2:hyperlink startIndex="21" length="119" url="https://static-content.springer.com/esm/art%3A10.1038%2Fs41467-024-50446-2/MediaObjects/41467_2024_50446_MOESM1_ESM.pdf"/>
      </x:ext>
    </extLst>
  </threadedComment>
  <threadedComment ref="C49" dT="2026-04-12T05:19:36.00" personId="{1384EF2D-527D-4AF4-8FF0-101800335F02}" id="{0088E8CB-44B3-4DFC-835D-39CC77E94C34}">
    <text>7by7</text>
  </threadedComment>
  <threadedComment ref="F50" dT="2026-04-26T07:57:25.00" personId="{1384EF2D-527D-4AF4-8FF0-101800335F02}" id="{EDA99FC4-E486-4424-9ADD-8CDC40CF2D0D}">
    <text>Anode에서 물이 생성되는 것과, Cathode에서 물이 소모되는 것은 무시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8" dT="2026-04-09T08:20:47.00" personId="{3D3A634B-C08C-48A7-9204-29D6E7711D86}" id="{2DC969D9-5D6A-4CD2-99F8-15051DA9DE21}">
    <text>패러데이 효율을 85%로 가정하여 계산</text>
  </threadedComment>
  <threadedComment ref="B38" dT="2026-04-09T07:56:35.00" personId="{3D3A634B-C08C-48A7-9204-29D6E7711D86}" id="{DA185B6A-F57B-485B-8505-403E760D6C34}">
    <text>OER 패러데이 효율을 85%으로 가정</text>
  </threadedComment>
  <threadedComment ref="B38" dT="2026-04-09T09:00:29.00" personId="{3D3A634B-C08C-48A7-9204-29D6E7711D86}" id="{4973D8F1-4327-44AF-9698-31A912B6829A}" parentId="{DA185B6A-F57B-485B-8505-403E760D6C34}">
    <text>2H2O ⟶ 4e− + 4H+ + O2</text>
  </threadedComment>
  <threadedComment ref="C38" dT="2026-04-29T06:47:42.00" personId="{3D3A634B-C08C-48A7-9204-29D6E7711D86}" id="{16FBFED2-40B0-4041-8250-4A6CBDDFD579}">
    <text>OER-ORR  energy consumption 추가했습니다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0" dT="2026-04-09T07:55:42.00" personId="{3D3A634B-C08C-48A7-9204-29D6E7711D86}" id="{D57FB16C-04E3-4D9B-893E-9F8B1F177A51}">
    <text>생성된 CO32-가 100% K+ 이온과 반응했다고 가정</text>
  </threadedComment>
  <threadedComment ref="B41" dT="2026-04-09T07:52:35.00" personId="{3D3A634B-C08C-48A7-9204-29D6E7711D86}" id="{0C307872-01AE-4136-9932-E0901090A0F0}">
    <text>85%로 가정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ure.com/articles/s41929-023-00924-5" TargetMode="External"/><Relationship Id="rId2" Type="http://schemas.openxmlformats.org/officeDocument/2006/relationships/hyperlink" Target="https://www.iea.org/data-and-statistics/data-product/energy-prices" TargetMode="External"/><Relationship Id="rId1" Type="http://schemas.openxmlformats.org/officeDocument/2006/relationships/hyperlink" Target="https://advanced.onlinelibrary.wiley.com/doi/10.1002/adma.20241203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-content.springer.com/esm/art%3A10.1038%2Fs41467-024-50446-2/MediaObjects/41467_2024_50446_MOESM1_ESM.pdf" TargetMode="External"/><Relationship Id="rId3" Type="http://schemas.openxmlformats.org/officeDocument/2006/relationships/hyperlink" Target="https://www.sigmaaldrich.com/US/en/search/koh?focus=products&amp;page=1&amp;perpage=30&amp;sort=relevance&amp;term=KOH&amp;type=product" TargetMode="External"/><Relationship Id="rId7" Type="http://schemas.openxmlformats.org/officeDocument/2006/relationships/hyperlink" Target="https://static-content.springer.com/esm/art%3A10.1038%2Fs41467-024-50446-2/MediaObjects/41467_2024_50446_MOESM1_ESM.pdf" TargetMode="External"/><Relationship Id="rId2" Type="http://schemas.openxmlformats.org/officeDocument/2006/relationships/hyperlink" Target="https://static-content.springer.com/esm/art%3A10.1038%2Fs41467-024-50446-2/MediaObjects/41467_2024_50446_MOESM1_ESM.pdf" TargetMode="External"/><Relationship Id="rId1" Type="http://schemas.openxmlformats.org/officeDocument/2006/relationships/hyperlink" Target="https://www.imarcgroup.com/oxygen-pricing-report" TargetMode="External"/><Relationship Id="rId6" Type="http://schemas.openxmlformats.org/officeDocument/2006/relationships/hyperlink" Target="https://www.imarcgroup.com/oxygen-pricing-report" TargetMode="External"/><Relationship Id="rId5" Type="http://schemas.openxmlformats.org/officeDocument/2006/relationships/hyperlink" Target="https://static-content.springer.com/esm/art%3A10.1038%2Fs41467-024-50446-2/MediaObjects/41467_2024_50446_MOESM1_ESM.pdf" TargetMode="External"/><Relationship Id="rId10" Type="http://schemas.openxmlformats.org/officeDocument/2006/relationships/hyperlink" Target="https://www.sigmaaldrich.com/US/en/product/mm/104928" TargetMode="External"/><Relationship Id="rId4" Type="http://schemas.openxmlformats.org/officeDocument/2006/relationships/hyperlink" Target="https://www.sigmaaldrich.com/US/en/product/mm/104928" TargetMode="External"/><Relationship Id="rId9" Type="http://schemas.openxmlformats.org/officeDocument/2006/relationships/hyperlink" Target="https://www.sigmaaldrich.com/US/en/search/koh?focus=products&amp;page=1&amp;perpage=30&amp;sort=relevance&amp;term=KOH&amp;type=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V999"/>
  <sheetViews>
    <sheetView topLeftCell="H21" workbookViewId="0">
      <selection activeCell="B43" sqref="B43"/>
    </sheetView>
  </sheetViews>
  <sheetFormatPr defaultColWidth="12.5703125" defaultRowHeight="15.75" customHeight="1" x14ac:dyDescent="0.2"/>
  <cols>
    <col min="1" max="1" width="14.42578125" customWidth="1"/>
    <col min="2" max="2" width="30.42578125" customWidth="1"/>
    <col min="6" max="6" width="27.28515625" customWidth="1"/>
    <col min="7" max="7" width="18.140625" customWidth="1"/>
    <col min="8" max="8" width="19.28515625" customWidth="1"/>
    <col min="10" max="10" width="27.28515625" customWidth="1"/>
    <col min="11" max="11" width="16.42578125" customWidth="1"/>
    <col min="12" max="12" width="20.140625" customWidth="1"/>
    <col min="13" max="13" width="20.85546875" customWidth="1"/>
    <col min="14" max="14" width="16.85546875" customWidth="1"/>
    <col min="15" max="15" width="22.7109375" customWidth="1"/>
    <col min="16" max="16" width="17" customWidth="1"/>
    <col min="17" max="17" width="13.42578125" customWidth="1"/>
    <col min="18" max="18" width="20.140625" customWidth="1"/>
    <col min="19" max="19" width="21.85546875" customWidth="1"/>
    <col min="20" max="20" width="14" customWidth="1"/>
  </cols>
  <sheetData>
    <row r="1" spans="2:22" x14ac:dyDescent="0.2">
      <c r="O1" s="1"/>
      <c r="P1" s="1"/>
      <c r="Q1" s="1"/>
      <c r="R1" s="1"/>
    </row>
    <row r="2" spans="2:22" x14ac:dyDescent="0.2">
      <c r="B2" s="89" t="s">
        <v>0</v>
      </c>
      <c r="C2" s="90"/>
      <c r="F2" s="2" t="s">
        <v>1</v>
      </c>
      <c r="G2" s="91" t="s">
        <v>2</v>
      </c>
      <c r="H2" s="90"/>
      <c r="T2" s="1"/>
    </row>
    <row r="3" spans="2:22" x14ac:dyDescent="0.2">
      <c r="B3" s="3" t="s">
        <v>3</v>
      </c>
      <c r="C3" s="4" t="s">
        <v>4</v>
      </c>
      <c r="F3" s="2" t="s">
        <v>5</v>
      </c>
      <c r="G3" s="91" t="s">
        <v>6</v>
      </c>
      <c r="H3" s="90"/>
      <c r="T3" s="1"/>
    </row>
    <row r="4" spans="2:22" x14ac:dyDescent="0.2">
      <c r="B4" s="3" t="s">
        <v>7</v>
      </c>
      <c r="C4" s="4" t="s">
        <v>8</v>
      </c>
      <c r="F4" s="3" t="s">
        <v>9</v>
      </c>
      <c r="G4" s="4">
        <v>3.7699999999999997E-2</v>
      </c>
      <c r="T4" s="1"/>
    </row>
    <row r="5" spans="2:22" x14ac:dyDescent="0.2">
      <c r="B5" s="3" t="s">
        <v>10</v>
      </c>
      <c r="C5" s="4" t="s">
        <v>11</v>
      </c>
      <c r="F5" s="3" t="s">
        <v>12</v>
      </c>
      <c r="G5" s="4">
        <v>0.9</v>
      </c>
      <c r="O5" s="2" t="s">
        <v>13</v>
      </c>
      <c r="P5" s="5">
        <v>10000000</v>
      </c>
      <c r="R5" s="1"/>
      <c r="S5" s="1"/>
    </row>
    <row r="6" spans="2:22" x14ac:dyDescent="0.2">
      <c r="T6" s="1"/>
      <c r="U6" s="6">
        <v>0.86460000000000004</v>
      </c>
      <c r="V6" s="6">
        <v>0.56999999999999995</v>
      </c>
    </row>
    <row r="7" spans="2:22" x14ac:dyDescent="0.2">
      <c r="B7" s="92" t="s">
        <v>14</v>
      </c>
      <c r="C7" s="93"/>
      <c r="D7" s="90"/>
      <c r="F7" s="92" t="s">
        <v>15</v>
      </c>
      <c r="G7" s="93"/>
      <c r="H7" s="90"/>
      <c r="J7" s="92" t="s">
        <v>16</v>
      </c>
      <c r="K7" s="93"/>
      <c r="L7" s="93"/>
      <c r="M7" s="90"/>
      <c r="O7" s="7" t="s">
        <v>1</v>
      </c>
      <c r="P7" s="7" t="s">
        <v>17</v>
      </c>
      <c r="Q7" s="7" t="s">
        <v>18</v>
      </c>
      <c r="R7" s="7" t="s">
        <v>19</v>
      </c>
      <c r="S7" s="7" t="s">
        <v>20</v>
      </c>
      <c r="U7" s="6">
        <v>1.3476999999999999</v>
      </c>
      <c r="V7" s="6">
        <v>0.89</v>
      </c>
    </row>
    <row r="8" spans="2:22" x14ac:dyDescent="0.2">
      <c r="B8" s="8" t="s">
        <v>17</v>
      </c>
      <c r="C8" s="8" t="s">
        <v>21</v>
      </c>
      <c r="D8" s="8" t="s">
        <v>22</v>
      </c>
      <c r="F8" s="8" t="s">
        <v>17</v>
      </c>
      <c r="G8" s="8" t="s">
        <v>21</v>
      </c>
      <c r="H8" s="8" t="s">
        <v>22</v>
      </c>
      <c r="J8" s="8" t="s">
        <v>23</v>
      </c>
      <c r="K8" s="8" t="s">
        <v>21</v>
      </c>
      <c r="L8" s="8" t="s">
        <v>22</v>
      </c>
      <c r="M8" s="8" t="s">
        <v>24</v>
      </c>
      <c r="O8" s="94" t="s">
        <v>25</v>
      </c>
      <c r="P8" s="9" t="s">
        <v>26</v>
      </c>
      <c r="Q8" s="10">
        <f>G32*C10*K19/1000</f>
        <v>0.69712390192009166</v>
      </c>
      <c r="R8" s="10">
        <f t="shared" ref="R8:R11" si="0">$P$5*(Q8/$Q$17)</f>
        <v>15641702.763864258</v>
      </c>
      <c r="S8" s="10">
        <f>R8*K10</f>
        <v>0</v>
      </c>
      <c r="U8" s="6">
        <f t="shared" ref="U8:V8" si="1">U7/U6</f>
        <v>1.5587554938699975</v>
      </c>
      <c r="V8" s="6">
        <f t="shared" si="1"/>
        <v>1.56140350877193</v>
      </c>
    </row>
    <row r="9" spans="2:22" x14ac:dyDescent="0.2">
      <c r="B9" s="92" t="s">
        <v>27</v>
      </c>
      <c r="C9" s="93"/>
      <c r="D9" s="90"/>
      <c r="F9" s="92" t="s">
        <v>25</v>
      </c>
      <c r="G9" s="93"/>
      <c r="H9" s="90"/>
      <c r="J9" s="92" t="s">
        <v>28</v>
      </c>
      <c r="K9" s="93"/>
      <c r="L9" s="93"/>
      <c r="M9" s="90"/>
      <c r="O9" s="95"/>
      <c r="P9" s="9" t="s">
        <v>29</v>
      </c>
      <c r="Q9" s="10">
        <f>G47*C12*K19/1000</f>
        <v>1.9279401487916257</v>
      </c>
      <c r="R9" s="10">
        <f t="shared" si="0"/>
        <v>43258116.198367737</v>
      </c>
      <c r="S9" s="10">
        <f t="shared" ref="S9:S11" si="2">R9*K12</f>
        <v>24657126.23306961</v>
      </c>
    </row>
    <row r="10" spans="2:22" x14ac:dyDescent="0.2">
      <c r="B10" s="11" t="s">
        <v>30</v>
      </c>
      <c r="C10" s="12">
        <v>28.01</v>
      </c>
      <c r="D10" s="4" t="s">
        <v>31</v>
      </c>
      <c r="F10" s="13" t="s">
        <v>32</v>
      </c>
      <c r="G10" s="12">
        <f>C27/1000*C19</f>
        <v>50</v>
      </c>
      <c r="H10" s="4" t="s">
        <v>33</v>
      </c>
      <c r="J10" s="11" t="s">
        <v>34</v>
      </c>
      <c r="K10" s="14">
        <v>0</v>
      </c>
      <c r="L10" s="4" t="s">
        <v>35</v>
      </c>
      <c r="M10" s="4" t="s">
        <v>36</v>
      </c>
      <c r="O10" s="96"/>
      <c r="P10" s="9" t="s">
        <v>37</v>
      </c>
      <c r="Q10" s="10">
        <f>G50*C13*K19/1000</f>
        <v>4.2000000000000037</v>
      </c>
      <c r="R10" s="10">
        <f t="shared" si="0"/>
        <v>94237410.921194181</v>
      </c>
      <c r="S10" s="10">
        <f t="shared" si="2"/>
        <v>20732.230402662721</v>
      </c>
    </row>
    <row r="11" spans="2:22" x14ac:dyDescent="0.2">
      <c r="B11" s="11" t="s">
        <v>38</v>
      </c>
      <c r="C11" s="12">
        <v>31.998799999999999</v>
      </c>
      <c r="D11" s="4" t="s">
        <v>31</v>
      </c>
      <c r="F11" s="13" t="s">
        <v>39</v>
      </c>
      <c r="G11" s="12">
        <f>(C27/1000*C26*C12)-(C30*2/C37*C12)</f>
        <v>2.6017508238586311</v>
      </c>
      <c r="H11" s="4" t="s">
        <v>33</v>
      </c>
      <c r="J11" s="11" t="s">
        <v>38</v>
      </c>
      <c r="K11" s="14">
        <f>0.032</f>
        <v>3.2000000000000001E-2</v>
      </c>
      <c r="L11" s="4" t="s">
        <v>35</v>
      </c>
      <c r="M11" s="4" t="s">
        <v>40</v>
      </c>
      <c r="O11" s="15" t="s">
        <v>41</v>
      </c>
      <c r="P11" s="16" t="s">
        <v>42</v>
      </c>
      <c r="Q11" s="17">
        <f>G17/1000*K19</f>
        <v>2.0171766452742519</v>
      </c>
      <c r="R11" s="17">
        <f t="shared" si="0"/>
        <v>45260358.195558436</v>
      </c>
      <c r="S11" s="18">
        <f t="shared" si="2"/>
        <v>40281718.794047005</v>
      </c>
    </row>
    <row r="12" spans="2:22" x14ac:dyDescent="0.2">
      <c r="B12" s="11" t="s">
        <v>29</v>
      </c>
      <c r="C12" s="12">
        <v>56.104999999999997</v>
      </c>
      <c r="D12" s="4" t="s">
        <v>31</v>
      </c>
      <c r="F12" s="13" t="s">
        <v>43</v>
      </c>
      <c r="G12" s="12">
        <f>C30*C14/C37</f>
        <v>0.25064257765455772</v>
      </c>
      <c r="H12" s="4" t="s">
        <v>33</v>
      </c>
      <c r="J12" s="11" t="s">
        <v>29</v>
      </c>
      <c r="K12" s="14">
        <v>0.56999999999999995</v>
      </c>
      <c r="L12" s="4" t="s">
        <v>35</v>
      </c>
      <c r="M12" s="4" t="s">
        <v>44</v>
      </c>
    </row>
    <row r="13" spans="2:22" x14ac:dyDescent="0.2">
      <c r="B13" s="11" t="s">
        <v>37</v>
      </c>
      <c r="C13" s="12">
        <v>18.015280000000001</v>
      </c>
      <c r="D13" s="4" t="s">
        <v>31</v>
      </c>
      <c r="F13" s="92" t="s">
        <v>45</v>
      </c>
      <c r="G13" s="93"/>
      <c r="H13" s="90"/>
      <c r="J13" s="11" t="s">
        <v>37</v>
      </c>
      <c r="K13" s="14">
        <v>2.2000000000000001E-4</v>
      </c>
      <c r="L13" s="4" t="s">
        <v>35</v>
      </c>
      <c r="M13" s="4" t="s">
        <v>46</v>
      </c>
      <c r="O13" s="7" t="s">
        <v>5</v>
      </c>
      <c r="P13" s="7" t="s">
        <v>17</v>
      </c>
      <c r="Q13" s="7" t="s">
        <v>18</v>
      </c>
      <c r="R13" s="7" t="s">
        <v>19</v>
      </c>
      <c r="S13" s="7" t="s">
        <v>20</v>
      </c>
    </row>
    <row r="14" spans="2:22" x14ac:dyDescent="0.2">
      <c r="B14" s="11" t="s">
        <v>42</v>
      </c>
      <c r="C14" s="12">
        <v>138.20500000000001</v>
      </c>
      <c r="D14" s="4" t="s">
        <v>31</v>
      </c>
      <c r="F14" s="13" t="s">
        <v>47</v>
      </c>
      <c r="G14" s="12">
        <f>(1-G5)*G11/(G5*(1+G4))</f>
        <v>0.27858092403698675</v>
      </c>
      <c r="H14" s="4" t="s">
        <v>33</v>
      </c>
      <c r="J14" s="11" t="s">
        <v>42</v>
      </c>
      <c r="K14" s="14">
        <v>0.89</v>
      </c>
      <c r="L14" s="4" t="s">
        <v>35</v>
      </c>
      <c r="M14" s="4" t="s">
        <v>44</v>
      </c>
      <c r="O14" s="94" t="s">
        <v>25</v>
      </c>
      <c r="P14" s="9" t="s">
        <v>38</v>
      </c>
      <c r="Q14" s="10">
        <f>G40*C11*K19/1000</f>
        <v>4.0161650805781282</v>
      </c>
      <c r="R14" s="10">
        <f t="shared" ref="R14:R16" si="3">$P$5*(Q14/$Q$17)</f>
        <v>90112618.815664664</v>
      </c>
      <c r="S14" s="10">
        <f t="shared" ref="S14:S16" si="4">R14*K11</f>
        <v>2883603.8021012694</v>
      </c>
      <c r="T14" s="1"/>
    </row>
    <row r="15" spans="2:22" x14ac:dyDescent="0.2">
      <c r="B15" s="11" t="s">
        <v>48</v>
      </c>
      <c r="C15" s="12">
        <v>34.014000000000003</v>
      </c>
      <c r="D15" s="4" t="s">
        <v>31</v>
      </c>
      <c r="F15" s="13" t="s">
        <v>49</v>
      </c>
      <c r="G15" s="12">
        <f>G14*G4</f>
        <v>1.05025008361944E-2</v>
      </c>
      <c r="H15" s="4" t="s">
        <v>33</v>
      </c>
      <c r="J15" s="11" t="s">
        <v>48</v>
      </c>
      <c r="K15" s="14">
        <v>1.5</v>
      </c>
      <c r="L15" s="4" t="s">
        <v>35</v>
      </c>
      <c r="M15" s="4" t="s">
        <v>50</v>
      </c>
      <c r="O15" s="95"/>
      <c r="P15" s="9" t="s">
        <v>29</v>
      </c>
      <c r="Q15" s="10">
        <f>G41*(1-G21)*C12*K19/1000</f>
        <v>0.23564100000000018</v>
      </c>
      <c r="R15" s="10">
        <f t="shared" si="3"/>
        <v>5287189.9397335984</v>
      </c>
      <c r="S15" s="10">
        <f t="shared" si="4"/>
        <v>3013698.2656481508</v>
      </c>
    </row>
    <row r="16" spans="2:22" x14ac:dyDescent="0.2">
      <c r="B16" s="92" t="s">
        <v>51</v>
      </c>
      <c r="C16" s="93"/>
      <c r="D16" s="90"/>
      <c r="F16" s="19" t="s">
        <v>52</v>
      </c>
      <c r="G16" s="20">
        <f>G10-G14</f>
        <v>49.721419075963013</v>
      </c>
      <c r="H16" s="21" t="s">
        <v>33</v>
      </c>
      <c r="J16" s="92" t="s">
        <v>53</v>
      </c>
      <c r="K16" s="93"/>
      <c r="L16" s="93"/>
      <c r="M16" s="90"/>
      <c r="O16" s="96"/>
      <c r="P16" s="22" t="s">
        <v>37</v>
      </c>
      <c r="Q16" s="23">
        <f>G50*C13*K19/1000</f>
        <v>4.2000000000000037</v>
      </c>
      <c r="R16" s="24">
        <f t="shared" si="3"/>
        <v>94237410.921194181</v>
      </c>
      <c r="S16" s="23">
        <f t="shared" si="4"/>
        <v>20732.230402662721</v>
      </c>
    </row>
    <row r="17" spans="2:20" x14ac:dyDescent="0.2">
      <c r="B17" s="11" t="s">
        <v>30</v>
      </c>
      <c r="C17" s="12">
        <v>1.145</v>
      </c>
      <c r="D17" s="4" t="s">
        <v>54</v>
      </c>
      <c r="F17" s="19" t="s">
        <v>55</v>
      </c>
      <c r="G17" s="20">
        <f>G12-G15</f>
        <v>0.24014007681836333</v>
      </c>
      <c r="H17" s="21" t="s">
        <v>33</v>
      </c>
      <c r="J17" s="11" t="s">
        <v>56</v>
      </c>
      <c r="K17" s="14">
        <v>30</v>
      </c>
      <c r="L17" s="4" t="s">
        <v>57</v>
      </c>
      <c r="M17" s="4" t="s">
        <v>58</v>
      </c>
      <c r="O17" s="15" t="s">
        <v>41</v>
      </c>
      <c r="P17" s="16" t="s">
        <v>48</v>
      </c>
      <c r="Q17" s="17">
        <f>(C31/C37)/1000*K19</f>
        <v>0.44568287253904337</v>
      </c>
      <c r="R17" s="17">
        <f>P5</f>
        <v>10000000</v>
      </c>
      <c r="S17" s="18">
        <f>R17*K15</f>
        <v>15000000</v>
      </c>
    </row>
    <row r="18" spans="2:20" x14ac:dyDescent="0.2">
      <c r="B18" s="11" t="s">
        <v>38</v>
      </c>
      <c r="C18" s="12">
        <v>1.429</v>
      </c>
      <c r="D18" s="4" t="s">
        <v>54</v>
      </c>
      <c r="F18" s="19" t="s">
        <v>59</v>
      </c>
      <c r="G18" s="25">
        <f>G16/G10</f>
        <v>0.99442838151926027</v>
      </c>
      <c r="H18" s="21" t="s">
        <v>60</v>
      </c>
      <c r="J18" s="11" t="s">
        <v>61</v>
      </c>
      <c r="K18" s="14">
        <v>5</v>
      </c>
      <c r="L18" s="4" t="s">
        <v>57</v>
      </c>
      <c r="M18" s="4" t="s">
        <v>36</v>
      </c>
    </row>
    <row r="19" spans="2:20" x14ac:dyDescent="0.2">
      <c r="B19" s="11" t="s">
        <v>37</v>
      </c>
      <c r="C19" s="12">
        <v>1000</v>
      </c>
      <c r="D19" s="4" t="s">
        <v>54</v>
      </c>
      <c r="F19" s="19" t="s">
        <v>62</v>
      </c>
      <c r="G19" s="25">
        <f>G17/G12</f>
        <v>0.95809769858547655</v>
      </c>
      <c r="H19" s="21" t="s">
        <v>60</v>
      </c>
      <c r="J19" s="11" t="s">
        <v>63</v>
      </c>
      <c r="K19" s="14">
        <f>350*24</f>
        <v>8400</v>
      </c>
      <c r="L19" s="4" t="s">
        <v>64</v>
      </c>
      <c r="M19" s="4" t="s">
        <v>65</v>
      </c>
      <c r="O19" s="97" t="s">
        <v>66</v>
      </c>
      <c r="P19" s="93"/>
      <c r="Q19" s="90"/>
    </row>
    <row r="20" spans="2:20" x14ac:dyDescent="0.2">
      <c r="J20" s="11" t="s">
        <v>67</v>
      </c>
      <c r="K20" s="26">
        <v>7.0000000000000007E-2</v>
      </c>
      <c r="L20" s="4" t="s">
        <v>60</v>
      </c>
      <c r="M20" s="4" t="s">
        <v>36</v>
      </c>
      <c r="O20" s="27" t="s">
        <v>68</v>
      </c>
      <c r="P20" s="27" t="s">
        <v>69</v>
      </c>
      <c r="Q20" s="27" t="s">
        <v>20</v>
      </c>
    </row>
    <row r="21" spans="2:20" x14ac:dyDescent="0.2">
      <c r="B21" s="92" t="s">
        <v>70</v>
      </c>
      <c r="C21" s="93"/>
      <c r="D21" s="90"/>
      <c r="F21" s="2" t="s">
        <v>71</v>
      </c>
      <c r="G21" s="28">
        <v>0.99</v>
      </c>
      <c r="J21" s="11" t="s">
        <v>72</v>
      </c>
      <c r="K21" s="29">
        <f>K20*(1+K20)^K17/((1+K20)^K17-1)</f>
        <v>8.0586403511111196E-2</v>
      </c>
      <c r="L21" s="4" t="s">
        <v>73</v>
      </c>
      <c r="M21" s="4" t="s">
        <v>36</v>
      </c>
      <c r="O21" s="30" t="s">
        <v>74</v>
      </c>
      <c r="P21" s="31">
        <f>C49/10000*K23*(P5/Q17)</f>
        <v>22437478.790760498</v>
      </c>
      <c r="Q21" s="31">
        <f>P21*K21*K26</f>
        <v>2169786.8635250698</v>
      </c>
    </row>
    <row r="22" spans="2:20" x14ac:dyDescent="0.2">
      <c r="B22" s="8" t="s">
        <v>17</v>
      </c>
      <c r="C22" s="8" t="s">
        <v>21</v>
      </c>
      <c r="D22" s="8" t="s">
        <v>22</v>
      </c>
      <c r="J22" s="11" t="s">
        <v>75</v>
      </c>
      <c r="K22" s="29">
        <f>K20*(1+K20)^K18/((1+K20)^K18-1)</f>
        <v>0.24389069444137401</v>
      </c>
      <c r="L22" s="4" t="s">
        <v>73</v>
      </c>
      <c r="M22" s="4" t="s">
        <v>36</v>
      </c>
      <c r="O22" s="30" t="s">
        <v>76</v>
      </c>
      <c r="P22" s="31">
        <f>K24*C48/10000*($P$5/$Q$17)</f>
        <v>2161944.5709847352</v>
      </c>
      <c r="Q22" s="31">
        <f>P22*K22</f>
        <v>527278.16276122548</v>
      </c>
    </row>
    <row r="23" spans="2:20" x14ac:dyDescent="0.2">
      <c r="B23" s="92" t="s">
        <v>25</v>
      </c>
      <c r="C23" s="93"/>
      <c r="D23" s="90"/>
      <c r="F23" s="92" t="s">
        <v>77</v>
      </c>
      <c r="G23" s="93"/>
      <c r="H23" s="90"/>
      <c r="J23" s="11" t="s">
        <v>74</v>
      </c>
      <c r="K23" s="32">
        <f>10000</f>
        <v>10000</v>
      </c>
      <c r="L23" s="4" t="s">
        <v>78</v>
      </c>
      <c r="M23" s="4" t="s">
        <v>58</v>
      </c>
      <c r="O23" s="30" t="s">
        <v>79</v>
      </c>
      <c r="P23" s="31">
        <f>C47/10000*K25*($P$5/$Q$17)</f>
        <v>1615498.4729347562</v>
      </c>
      <c r="Q23" s="31">
        <f>P23*K22</f>
        <v>394005.04443303694</v>
      </c>
    </row>
    <row r="24" spans="2:20" x14ac:dyDescent="0.2">
      <c r="B24" s="11" t="s">
        <v>80</v>
      </c>
      <c r="C24" s="12">
        <v>70</v>
      </c>
      <c r="D24" s="4" t="s">
        <v>81</v>
      </c>
      <c r="F24" s="8" t="s">
        <v>17</v>
      </c>
      <c r="G24" s="8" t="s">
        <v>21</v>
      </c>
      <c r="H24" s="8" t="s">
        <v>22</v>
      </c>
      <c r="J24" s="11" t="s">
        <v>76</v>
      </c>
      <c r="K24" s="32">
        <f>185/(40*48)/10^-4</f>
        <v>963.54166666666663</v>
      </c>
      <c r="L24" s="4" t="s">
        <v>78</v>
      </c>
      <c r="M24" s="4" t="s">
        <v>82</v>
      </c>
      <c r="O24" s="100" t="s">
        <v>83</v>
      </c>
      <c r="P24" s="101"/>
      <c r="Q24" s="33">
        <f>Q21*K27/(1-K27)</f>
        <v>1168346.7726673451</v>
      </c>
    </row>
    <row r="25" spans="2:20" x14ac:dyDescent="0.2">
      <c r="B25" s="11" t="s">
        <v>38</v>
      </c>
      <c r="C25" s="12">
        <v>500</v>
      </c>
      <c r="D25" s="4" t="s">
        <v>81</v>
      </c>
      <c r="F25" s="92" t="s">
        <v>25</v>
      </c>
      <c r="G25" s="93"/>
      <c r="H25" s="90"/>
      <c r="J25" s="11" t="s">
        <v>84</v>
      </c>
      <c r="K25" s="12">
        <v>180</v>
      </c>
      <c r="L25" s="4" t="s">
        <v>78</v>
      </c>
      <c r="M25" s="4" t="s">
        <v>85</v>
      </c>
      <c r="O25" s="102" t="s">
        <v>86</v>
      </c>
      <c r="P25" s="103"/>
      <c r="Q25" s="34">
        <f>SUM(Q21:Q24)</f>
        <v>4259416.8433866771</v>
      </c>
    </row>
    <row r="26" spans="2:20" x14ac:dyDescent="0.2">
      <c r="B26" s="11" t="s">
        <v>29</v>
      </c>
      <c r="C26" s="12">
        <v>1</v>
      </c>
      <c r="D26" s="4" t="s">
        <v>87</v>
      </c>
      <c r="F26" s="11" t="s">
        <v>88</v>
      </c>
      <c r="G26" s="12">
        <f>C24*60/1000*0.68*C17/C10</f>
        <v>0.11674830417707963</v>
      </c>
      <c r="H26" s="4" t="s">
        <v>89</v>
      </c>
      <c r="J26" s="11" t="s">
        <v>90</v>
      </c>
      <c r="K26" s="12">
        <v>1.2</v>
      </c>
      <c r="L26" s="4" t="s">
        <v>91</v>
      </c>
      <c r="M26" s="4" t="s">
        <v>92</v>
      </c>
    </row>
    <row r="27" spans="2:20" x14ac:dyDescent="0.2">
      <c r="B27" s="11" t="s">
        <v>93</v>
      </c>
      <c r="C27" s="12">
        <v>50</v>
      </c>
      <c r="D27" s="4" t="s">
        <v>94</v>
      </c>
      <c r="F27" s="11" t="s">
        <v>95</v>
      </c>
      <c r="G27" s="12">
        <f>C30/C37</f>
        <v>1.8135565113748251E-3</v>
      </c>
      <c r="H27" s="4" t="s">
        <v>89</v>
      </c>
      <c r="J27" s="11" t="s">
        <v>83</v>
      </c>
      <c r="K27" s="35">
        <v>0.35</v>
      </c>
      <c r="L27" s="4" t="s">
        <v>96</v>
      </c>
      <c r="M27" s="4" t="s">
        <v>92</v>
      </c>
      <c r="O27" s="97" t="s">
        <v>97</v>
      </c>
      <c r="P27" s="90"/>
    </row>
    <row r="28" spans="2:20" x14ac:dyDescent="0.2">
      <c r="B28" s="11" t="s">
        <v>98</v>
      </c>
      <c r="C28" s="12">
        <v>50</v>
      </c>
      <c r="D28" s="4" t="s">
        <v>94</v>
      </c>
      <c r="F28" s="11" t="s">
        <v>99</v>
      </c>
      <c r="G28" s="12">
        <f>G26-G27</f>
        <v>0.1149347476657048</v>
      </c>
      <c r="H28" s="4" t="s">
        <v>89</v>
      </c>
      <c r="J28" s="92" t="s">
        <v>100</v>
      </c>
      <c r="K28" s="93"/>
      <c r="L28" s="93"/>
      <c r="M28" s="90"/>
      <c r="O28" s="36" t="s">
        <v>23</v>
      </c>
      <c r="P28" s="36" t="s">
        <v>20</v>
      </c>
    </row>
    <row r="29" spans="2:20" x14ac:dyDescent="0.2">
      <c r="B29" s="92" t="s">
        <v>41</v>
      </c>
      <c r="C29" s="93"/>
      <c r="D29" s="90"/>
      <c r="F29" s="11" t="s">
        <v>101</v>
      </c>
      <c r="G29" s="12">
        <f>G28*G21</f>
        <v>0.11378540018904776</v>
      </c>
      <c r="H29" s="4" t="s">
        <v>89</v>
      </c>
      <c r="J29" s="11" t="s">
        <v>102</v>
      </c>
      <c r="K29" s="35">
        <v>2.5000000000000001E-2</v>
      </c>
      <c r="L29" s="4" t="s">
        <v>103</v>
      </c>
      <c r="M29" s="4" t="s">
        <v>85</v>
      </c>
      <c r="O29" s="37" t="s">
        <v>102</v>
      </c>
      <c r="P29" s="31">
        <f>Q25*K29</f>
        <v>106485.42108466693</v>
      </c>
      <c r="T29" s="1"/>
    </row>
    <row r="30" spans="2:20" x14ac:dyDescent="0.2">
      <c r="B30" s="11" t="s">
        <v>42</v>
      </c>
      <c r="C30" s="38">
        <f>C41*(C42)/(2*96485)</f>
        <v>5.4406695341244751E-3</v>
      </c>
      <c r="D30" s="4" t="s">
        <v>104</v>
      </c>
      <c r="F30" s="11" t="s">
        <v>105</v>
      </c>
      <c r="G30" s="12">
        <f>G28*(1-G21)</f>
        <v>1.1493474766570491E-3</v>
      </c>
      <c r="H30" s="4" t="s">
        <v>89</v>
      </c>
      <c r="J30" s="11" t="s">
        <v>106</v>
      </c>
      <c r="K30" s="35">
        <v>0.2</v>
      </c>
      <c r="L30" s="4" t="s">
        <v>107</v>
      </c>
      <c r="M30" s="4" t="s">
        <v>85</v>
      </c>
      <c r="O30" s="37" t="s">
        <v>108</v>
      </c>
      <c r="P30" s="31">
        <f>SUM(S8:S10)*K30</f>
        <v>4935571.6926944545</v>
      </c>
      <c r="T30" s="1"/>
    </row>
    <row r="31" spans="2:20" x14ac:dyDescent="0.2">
      <c r="B31" s="11" t="s">
        <v>48</v>
      </c>
      <c r="C31" s="38">
        <f>C43*(C41/2/96485)*C15</f>
        <v>0.15917245447822978</v>
      </c>
      <c r="D31" s="4" t="s">
        <v>109</v>
      </c>
      <c r="F31" s="11" t="s">
        <v>110</v>
      </c>
      <c r="G31" s="12">
        <f>G27</f>
        <v>1.8135565113748251E-3</v>
      </c>
      <c r="H31" s="4" t="s">
        <v>89</v>
      </c>
      <c r="J31" s="92" t="s">
        <v>111</v>
      </c>
      <c r="K31" s="93"/>
      <c r="L31" s="93"/>
      <c r="M31" s="90"/>
      <c r="O31" s="37" t="s">
        <v>112</v>
      </c>
      <c r="P31" s="31">
        <f>SUM(S14:S16)*K30</f>
        <v>1183606.8596304166</v>
      </c>
    </row>
    <row r="32" spans="2:20" x14ac:dyDescent="0.2">
      <c r="F32" s="39" t="s">
        <v>113</v>
      </c>
      <c r="G32" s="40">
        <f>SUM(G30:G31)</f>
        <v>2.9629039880318744E-3</v>
      </c>
      <c r="H32" s="41" t="s">
        <v>89</v>
      </c>
      <c r="J32" s="11" t="s">
        <v>114</v>
      </c>
      <c r="K32" s="14">
        <v>0.11600000000000001</v>
      </c>
      <c r="L32" s="4" t="s">
        <v>115</v>
      </c>
      <c r="M32" s="4" t="s">
        <v>116</v>
      </c>
      <c r="O32" s="42" t="s">
        <v>114</v>
      </c>
      <c r="P32" s="33">
        <f>C39/C37*K19*(P5/Q17)*K32</f>
        <v>2047841.7642581619</v>
      </c>
      <c r="S32" s="6" t="s">
        <v>117</v>
      </c>
    </row>
    <row r="33" spans="2:20" x14ac:dyDescent="0.2">
      <c r="B33" s="92" t="s">
        <v>118</v>
      </c>
      <c r="C33" s="93"/>
      <c r="D33" s="90"/>
      <c r="F33" s="39" t="s">
        <v>119</v>
      </c>
      <c r="G33" s="40">
        <f>G32/0.68</f>
        <v>4.3572117471056973E-3</v>
      </c>
      <c r="H33" s="41" t="s">
        <v>89</v>
      </c>
      <c r="J33" s="92" t="s">
        <v>120</v>
      </c>
      <c r="K33" s="93"/>
      <c r="L33" s="93"/>
      <c r="M33" s="90"/>
      <c r="O33" s="43" t="s">
        <v>121</v>
      </c>
      <c r="P33" s="34">
        <f>SUM(P29:P32)</f>
        <v>8273505.7376676993</v>
      </c>
    </row>
    <row r="34" spans="2:20" x14ac:dyDescent="0.2">
      <c r="B34" s="8" t="s">
        <v>23</v>
      </c>
      <c r="C34" s="8" t="s">
        <v>21</v>
      </c>
      <c r="D34" s="8" t="s">
        <v>22</v>
      </c>
      <c r="F34" s="44" t="s">
        <v>122</v>
      </c>
      <c r="G34" s="45">
        <f>C25*60/1000*C18/C11</f>
        <v>1.3397377401652564</v>
      </c>
      <c r="H34" s="46" t="s">
        <v>89</v>
      </c>
      <c r="J34" s="11" t="s">
        <v>123</v>
      </c>
      <c r="K34" s="47">
        <f>0.00490337443/K35</f>
        <v>4.1645798757488899E-3</v>
      </c>
      <c r="L34" s="4" t="s">
        <v>124</v>
      </c>
      <c r="M34" s="4" t="s">
        <v>125</v>
      </c>
    </row>
    <row r="35" spans="2:20" x14ac:dyDescent="0.2">
      <c r="B35" s="11" t="s">
        <v>126</v>
      </c>
      <c r="C35" s="12">
        <v>2.4</v>
      </c>
      <c r="D35" s="4" t="s">
        <v>127</v>
      </c>
      <c r="F35" s="11" t="s">
        <v>128</v>
      </c>
      <c r="G35" s="12">
        <f>C31/C15/C37</f>
        <v>1.5598719593719231E-3</v>
      </c>
      <c r="H35" s="4" t="s">
        <v>89</v>
      </c>
      <c r="J35" s="11" t="s">
        <v>129</v>
      </c>
      <c r="K35" s="47">
        <v>1.1773995399999999</v>
      </c>
      <c r="L35" s="4" t="s">
        <v>130</v>
      </c>
      <c r="M35" s="4" t="s">
        <v>125</v>
      </c>
      <c r="O35" s="97" t="s">
        <v>131</v>
      </c>
      <c r="P35" s="90"/>
      <c r="R35" s="97" t="s">
        <v>132</v>
      </c>
      <c r="S35" s="90"/>
    </row>
    <row r="36" spans="2:20" x14ac:dyDescent="0.2">
      <c r="B36" s="11" t="s">
        <v>133</v>
      </c>
      <c r="C36" s="12">
        <v>0.6</v>
      </c>
      <c r="D36" s="4" t="s">
        <v>127</v>
      </c>
      <c r="F36" s="11" t="s">
        <v>134</v>
      </c>
      <c r="G36" s="12">
        <f>G34-G35</f>
        <v>1.3381778682058845</v>
      </c>
      <c r="H36" s="4" t="s">
        <v>89</v>
      </c>
      <c r="O36" s="36" t="s">
        <v>23</v>
      </c>
      <c r="P36" s="36" t="s">
        <v>20</v>
      </c>
      <c r="R36" s="36" t="s">
        <v>23</v>
      </c>
      <c r="S36" s="36" t="s">
        <v>20</v>
      </c>
    </row>
    <row r="37" spans="2:20" x14ac:dyDescent="0.2">
      <c r="B37" s="11" t="s">
        <v>135</v>
      </c>
      <c r="C37" s="12">
        <v>3</v>
      </c>
      <c r="D37" s="4" t="s">
        <v>127</v>
      </c>
      <c r="F37" s="11" t="s">
        <v>136</v>
      </c>
      <c r="G37" s="12">
        <f>G36*G21</f>
        <v>1.3247960895238255</v>
      </c>
      <c r="H37" s="4" t="s">
        <v>89</v>
      </c>
      <c r="O37" s="37" t="s">
        <v>120</v>
      </c>
      <c r="P37" s="31">
        <f>R10*G18*K35*K34</f>
        <v>459506.77028807777</v>
      </c>
      <c r="R37" s="37" t="s">
        <v>137</v>
      </c>
      <c r="S37" s="31">
        <f>Q25</f>
        <v>4259416.8433866771</v>
      </c>
    </row>
    <row r="38" spans="2:20" x14ac:dyDescent="0.2">
      <c r="B38" s="11" t="s">
        <v>138</v>
      </c>
      <c r="C38" s="12">
        <v>1</v>
      </c>
      <c r="D38" s="4" t="s">
        <v>139</v>
      </c>
      <c r="F38" s="11" t="s">
        <v>140</v>
      </c>
      <c r="G38" s="12">
        <f>G36*(1-G21)</f>
        <v>1.3381778682058856E-2</v>
      </c>
      <c r="H38" s="4" t="s">
        <v>89</v>
      </c>
      <c r="O38" s="43" t="s">
        <v>141</v>
      </c>
      <c r="P38" s="34">
        <f>SUM(P35:P37)</f>
        <v>459506.77028807777</v>
      </c>
      <c r="R38" s="37" t="s">
        <v>142</v>
      </c>
      <c r="S38" s="31">
        <f>SUM(S8:S10)+SUM(S14:S16)+P33+P38</f>
        <v>39328905.269580133</v>
      </c>
    </row>
    <row r="39" spans="2:20" x14ac:dyDescent="0.2">
      <c r="B39" s="11" t="s">
        <v>143</v>
      </c>
      <c r="C39" s="12">
        <v>2.81E-4</v>
      </c>
      <c r="D39" s="4" t="s">
        <v>144</v>
      </c>
      <c r="F39" s="11" t="s">
        <v>145</v>
      </c>
      <c r="G39" s="12">
        <f>G35</f>
        <v>1.5598719593719231E-3</v>
      </c>
      <c r="H39" s="4" t="s">
        <v>89</v>
      </c>
      <c r="R39" s="42" t="s">
        <v>146</v>
      </c>
      <c r="S39" s="33">
        <f>S11+S17</f>
        <v>55281718.794047005</v>
      </c>
    </row>
    <row r="40" spans="2:20" x14ac:dyDescent="0.2">
      <c r="B40" s="11" t="s">
        <v>147</v>
      </c>
      <c r="C40" s="12" t="s">
        <v>148</v>
      </c>
      <c r="D40" s="4" t="s">
        <v>149</v>
      </c>
      <c r="F40" s="48" t="s">
        <v>150</v>
      </c>
      <c r="G40" s="20">
        <f>SUM(G38:G39)</f>
        <v>1.4941650641430779E-2</v>
      </c>
      <c r="H40" s="21" t="s">
        <v>89</v>
      </c>
      <c r="R40" s="43" t="s">
        <v>151</v>
      </c>
      <c r="S40" s="34">
        <f>S39-SUM(S37:S38)</f>
        <v>11693396.681080192</v>
      </c>
    </row>
    <row r="41" spans="2:20" x14ac:dyDescent="0.2">
      <c r="B41" s="11" t="s">
        <v>152</v>
      </c>
      <c r="C41" s="12">
        <f>1235.16</f>
        <v>1235.1600000000001</v>
      </c>
      <c r="D41" s="4" t="s">
        <v>153</v>
      </c>
      <c r="F41" s="44" t="s">
        <v>154</v>
      </c>
      <c r="G41" s="45">
        <f>C27/1000*C26</f>
        <v>0.05</v>
      </c>
      <c r="H41" s="46" t="s">
        <v>89</v>
      </c>
    </row>
    <row r="42" spans="2:20" x14ac:dyDescent="0.2">
      <c r="B42" s="11" t="s">
        <v>155</v>
      </c>
      <c r="C42" s="35">
        <v>0.85</v>
      </c>
      <c r="D42" s="4" t="s">
        <v>60</v>
      </c>
      <c r="F42" s="11" t="s">
        <v>95</v>
      </c>
      <c r="G42" s="12">
        <f>C30/C37</f>
        <v>1.8135565113748251E-3</v>
      </c>
      <c r="H42" s="4" t="s">
        <v>89</v>
      </c>
      <c r="O42" s="92" t="s">
        <v>156</v>
      </c>
      <c r="P42" s="93"/>
      <c r="Q42" s="93"/>
      <c r="R42" s="93"/>
      <c r="S42" s="93"/>
      <c r="T42" s="90"/>
    </row>
    <row r="43" spans="2:20" x14ac:dyDescent="0.2">
      <c r="B43" s="11" t="s">
        <v>157</v>
      </c>
      <c r="C43" s="35">
        <v>0.73109999999999997</v>
      </c>
      <c r="D43" s="4" t="s">
        <v>60</v>
      </c>
      <c r="F43" s="11" t="s">
        <v>158</v>
      </c>
      <c r="G43" s="12">
        <f>G41-2*G42</f>
        <v>4.6372886977250352E-2</v>
      </c>
      <c r="H43" s="4" t="s">
        <v>89</v>
      </c>
      <c r="O43" s="8" t="s">
        <v>159</v>
      </c>
      <c r="P43" s="8" t="s">
        <v>160</v>
      </c>
      <c r="Q43" s="8" t="s">
        <v>161</v>
      </c>
      <c r="R43" s="8" t="s">
        <v>162</v>
      </c>
      <c r="S43" s="8" t="s">
        <v>160</v>
      </c>
      <c r="T43" s="8" t="s">
        <v>161</v>
      </c>
    </row>
    <row r="44" spans="2:20" x14ac:dyDescent="0.2">
      <c r="F44" s="11" t="s">
        <v>163</v>
      </c>
      <c r="G44" s="12">
        <f>G43*G21</f>
        <v>4.5909158107477852E-2</v>
      </c>
      <c r="H44" s="4" t="s">
        <v>89</v>
      </c>
      <c r="O44" s="13" t="s">
        <v>164</v>
      </c>
      <c r="P44" s="31">
        <f>SUM(S8:S10)</f>
        <v>24677858.463472273</v>
      </c>
      <c r="Q44" s="49">
        <f t="shared" ref="Q44:Q54" si="5">P44/$P$5</f>
        <v>2.4677858463472275</v>
      </c>
      <c r="R44" s="13" t="s">
        <v>164</v>
      </c>
      <c r="S44" s="31">
        <f>SUM(S14:S16)</f>
        <v>5918034.2981520826</v>
      </c>
      <c r="T44" s="49">
        <f t="shared" ref="T44:T51" si="6">S44/$P$5</f>
        <v>0.59180342981520828</v>
      </c>
    </row>
    <row r="45" spans="2:20" x14ac:dyDescent="0.2">
      <c r="B45" s="92" t="s">
        <v>165</v>
      </c>
      <c r="C45" s="93"/>
      <c r="D45" s="90"/>
      <c r="F45" s="11" t="s">
        <v>166</v>
      </c>
      <c r="G45" s="12">
        <f>G43*(1-G21)</f>
        <v>4.6372886977250391E-4</v>
      </c>
      <c r="H45" s="4" t="s">
        <v>89</v>
      </c>
      <c r="O45" s="13" t="s">
        <v>74</v>
      </c>
      <c r="P45" s="31">
        <f t="shared" ref="P45:P48" si="7">Q21/2</f>
        <v>1084893.4317625349</v>
      </c>
      <c r="Q45" s="49">
        <f t="shared" si="5"/>
        <v>0.10848934317625349</v>
      </c>
      <c r="R45" s="13" t="s">
        <v>74</v>
      </c>
      <c r="S45" s="31">
        <f t="shared" ref="S45:S48" si="8">Q21/2</f>
        <v>1084893.4317625349</v>
      </c>
      <c r="T45" s="49">
        <f t="shared" si="6"/>
        <v>0.10848934317625349</v>
      </c>
    </row>
    <row r="46" spans="2:20" x14ac:dyDescent="0.2">
      <c r="B46" s="8" t="s">
        <v>17</v>
      </c>
      <c r="C46" s="8" t="s">
        <v>21</v>
      </c>
      <c r="D46" s="8" t="s">
        <v>22</v>
      </c>
      <c r="F46" s="11" t="s">
        <v>167</v>
      </c>
      <c r="G46" s="12">
        <f>G42*2</f>
        <v>3.6271130227496502E-3</v>
      </c>
      <c r="H46" s="4" t="s">
        <v>89</v>
      </c>
      <c r="O46" s="13" t="s">
        <v>76</v>
      </c>
      <c r="P46" s="31">
        <f t="shared" si="7"/>
        <v>263639.08138061274</v>
      </c>
      <c r="Q46" s="49">
        <f t="shared" si="5"/>
        <v>2.6363908138061273E-2</v>
      </c>
      <c r="R46" s="13" t="s">
        <v>76</v>
      </c>
      <c r="S46" s="31">
        <f t="shared" si="8"/>
        <v>263639.08138061274</v>
      </c>
      <c r="T46" s="49">
        <f t="shared" si="6"/>
        <v>2.6363908138061273E-2</v>
      </c>
    </row>
    <row r="47" spans="2:20" x14ac:dyDescent="0.2">
      <c r="B47" s="11" t="s">
        <v>84</v>
      </c>
      <c r="C47" s="12">
        <v>4</v>
      </c>
      <c r="D47" s="4" t="s">
        <v>139</v>
      </c>
      <c r="F47" s="50" t="s">
        <v>168</v>
      </c>
      <c r="G47" s="51">
        <f>SUM(G45:G46)</f>
        <v>4.0908418925221538E-3</v>
      </c>
      <c r="H47" s="52" t="s">
        <v>89</v>
      </c>
      <c r="O47" s="13" t="s">
        <v>79</v>
      </c>
      <c r="P47" s="31">
        <f t="shared" si="7"/>
        <v>197002.52221651847</v>
      </c>
      <c r="Q47" s="49">
        <f t="shared" si="5"/>
        <v>1.9700252221651848E-2</v>
      </c>
      <c r="R47" s="13" t="s">
        <v>79</v>
      </c>
      <c r="S47" s="31">
        <f t="shared" si="8"/>
        <v>197002.52221651847</v>
      </c>
      <c r="T47" s="49">
        <f t="shared" si="6"/>
        <v>1.9700252221651848E-2</v>
      </c>
    </row>
    <row r="48" spans="2:20" x14ac:dyDescent="0.2">
      <c r="B48" s="11" t="s">
        <v>76</v>
      </c>
      <c r="C48" s="12">
        <v>1</v>
      </c>
      <c r="D48" s="4" t="s">
        <v>139</v>
      </c>
      <c r="F48" s="53" t="s">
        <v>169</v>
      </c>
      <c r="G48" s="54">
        <f>C27/1000*C19/C13</f>
        <v>2.7754217530895993</v>
      </c>
      <c r="H48" s="55" t="s">
        <v>89</v>
      </c>
      <c r="O48" s="13" t="s">
        <v>83</v>
      </c>
      <c r="P48" s="31">
        <f t="shared" si="7"/>
        <v>584173.38633367256</v>
      </c>
      <c r="Q48" s="49">
        <f t="shared" si="5"/>
        <v>5.8417338633367254E-2</v>
      </c>
      <c r="R48" s="13" t="s">
        <v>83</v>
      </c>
      <c r="S48" s="31">
        <f t="shared" si="8"/>
        <v>584173.38633367256</v>
      </c>
      <c r="T48" s="49">
        <f t="shared" si="6"/>
        <v>5.8417338633367254E-2</v>
      </c>
    </row>
    <row r="49" spans="2:20" x14ac:dyDescent="0.2">
      <c r="B49" s="11" t="s">
        <v>74</v>
      </c>
      <c r="C49" s="12">
        <v>1</v>
      </c>
      <c r="D49" s="4" t="s">
        <v>139</v>
      </c>
      <c r="F49" s="11" t="s">
        <v>170</v>
      </c>
      <c r="G49" s="12">
        <f>G48*(1-G21)</f>
        <v>2.7754217530896016E-2</v>
      </c>
      <c r="H49" s="4" t="s">
        <v>89</v>
      </c>
      <c r="O49" s="13" t="s">
        <v>102</v>
      </c>
      <c r="P49" s="31">
        <f>P29/2</f>
        <v>53242.710542333465</v>
      </c>
      <c r="Q49" s="49">
        <f t="shared" si="5"/>
        <v>5.3242710542333463E-3</v>
      </c>
      <c r="R49" s="13" t="s">
        <v>102</v>
      </c>
      <c r="S49" s="31">
        <f>P29/2</f>
        <v>53242.710542333465</v>
      </c>
      <c r="T49" s="49">
        <f t="shared" si="6"/>
        <v>5.3242710542333463E-3</v>
      </c>
    </row>
    <row r="50" spans="2:20" x14ac:dyDescent="0.2">
      <c r="B50" s="11" t="s">
        <v>171</v>
      </c>
      <c r="C50" s="12">
        <v>2</v>
      </c>
      <c r="D50" s="4" t="s">
        <v>172</v>
      </c>
      <c r="F50" s="48" t="s">
        <v>173</v>
      </c>
      <c r="G50" s="20">
        <f>G49</f>
        <v>2.7754217530896016E-2</v>
      </c>
      <c r="H50" s="21" t="s">
        <v>89</v>
      </c>
      <c r="O50" s="13" t="s">
        <v>106</v>
      </c>
      <c r="P50" s="31">
        <f>P30</f>
        <v>4935571.6926944545</v>
      </c>
      <c r="Q50" s="49">
        <f t="shared" si="5"/>
        <v>0.49355716926944543</v>
      </c>
      <c r="R50" s="13" t="s">
        <v>106</v>
      </c>
      <c r="S50" s="31">
        <f>P31</f>
        <v>1183606.8596304166</v>
      </c>
      <c r="T50" s="49">
        <f t="shared" si="6"/>
        <v>0.11836068596304167</v>
      </c>
    </row>
    <row r="51" spans="2:20" x14ac:dyDescent="0.2">
      <c r="B51" s="11" t="s">
        <v>174</v>
      </c>
      <c r="C51" s="12">
        <v>2</v>
      </c>
      <c r="D51" s="4" t="s">
        <v>172</v>
      </c>
      <c r="O51" s="13" t="s">
        <v>114</v>
      </c>
      <c r="P51" s="31">
        <f>P32/2</f>
        <v>1023920.8821290809</v>
      </c>
      <c r="Q51" s="49">
        <f t="shared" si="5"/>
        <v>0.1023920882129081</v>
      </c>
      <c r="R51" s="13" t="s">
        <v>114</v>
      </c>
      <c r="S51" s="31">
        <f>P32/2</f>
        <v>1023920.8821290809</v>
      </c>
      <c r="T51" s="49">
        <f t="shared" si="6"/>
        <v>0.1023920882129081</v>
      </c>
    </row>
    <row r="52" spans="2:20" x14ac:dyDescent="0.2">
      <c r="B52" s="11" t="s">
        <v>175</v>
      </c>
      <c r="C52" s="12">
        <v>1</v>
      </c>
      <c r="D52" s="4" t="s">
        <v>172</v>
      </c>
      <c r="O52" s="13" t="s">
        <v>176</v>
      </c>
      <c r="P52" s="31">
        <f>P37</f>
        <v>459506.77028807777</v>
      </c>
      <c r="Q52" s="49">
        <f t="shared" si="5"/>
        <v>4.5950677028807778E-2</v>
      </c>
      <c r="R52" s="13"/>
      <c r="S52" s="31"/>
      <c r="T52" s="49"/>
    </row>
    <row r="53" spans="2:20" x14ac:dyDescent="0.2">
      <c r="O53" s="56" t="s">
        <v>146</v>
      </c>
      <c r="P53" s="33">
        <f>S11</f>
        <v>40281718.794047005</v>
      </c>
      <c r="Q53" s="57">
        <f t="shared" si="5"/>
        <v>4.0281718794047006</v>
      </c>
      <c r="R53" s="56" t="s">
        <v>146</v>
      </c>
      <c r="S53" s="33">
        <f>S17</f>
        <v>15000000</v>
      </c>
      <c r="T53" s="57">
        <f t="shared" ref="T53:T54" si="9">S53/$P$5</f>
        <v>1.5</v>
      </c>
    </row>
    <row r="54" spans="2:20" x14ac:dyDescent="0.2">
      <c r="O54" s="58" t="s">
        <v>151</v>
      </c>
      <c r="P54" s="34">
        <f>P53-SUM(P44:P52)</f>
        <v>7001909.8532274477</v>
      </c>
      <c r="Q54" s="34">
        <f t="shared" si="5"/>
        <v>0.70019098532274482</v>
      </c>
      <c r="R54" s="59" t="s">
        <v>151</v>
      </c>
      <c r="S54" s="34">
        <f>S53-SUM(S44:S52)</f>
        <v>4691486.8278527483</v>
      </c>
      <c r="T54" s="34">
        <f t="shared" si="9"/>
        <v>0.46914868278527483</v>
      </c>
    </row>
    <row r="55" spans="2:20" x14ac:dyDescent="0.2">
      <c r="O55" s="19" t="s">
        <v>177</v>
      </c>
      <c r="P55" s="98">
        <f>P54+S54</f>
        <v>11693396.681080196</v>
      </c>
      <c r="Q55" s="93"/>
      <c r="R55" s="93"/>
      <c r="S55" s="93"/>
      <c r="T55" s="90"/>
    </row>
    <row r="57" spans="2:20" x14ac:dyDescent="0.2">
      <c r="O57" s="99" t="s">
        <v>178</v>
      </c>
      <c r="P57" s="90"/>
    </row>
    <row r="58" spans="2:20" x14ac:dyDescent="0.2">
      <c r="O58" s="13" t="s">
        <v>164</v>
      </c>
      <c r="P58" s="31">
        <f t="shared" ref="P58:P66" si="10">Q44+T44</f>
        <v>3.0595892761624359</v>
      </c>
    </row>
    <row r="59" spans="2:20" x14ac:dyDescent="0.2">
      <c r="O59" s="13" t="s">
        <v>74</v>
      </c>
      <c r="P59" s="31">
        <f t="shared" si="10"/>
        <v>0.21697868635250697</v>
      </c>
    </row>
    <row r="60" spans="2:20" x14ac:dyDescent="0.2">
      <c r="O60" s="13" t="s">
        <v>76</v>
      </c>
      <c r="P60" s="31">
        <f t="shared" si="10"/>
        <v>5.2727816276122545E-2</v>
      </c>
    </row>
    <row r="61" spans="2:20" x14ac:dyDescent="0.2">
      <c r="O61" s="13" t="s">
        <v>79</v>
      </c>
      <c r="P61" s="31">
        <f t="shared" si="10"/>
        <v>3.9400504443303695E-2</v>
      </c>
    </row>
    <row r="62" spans="2:20" x14ac:dyDescent="0.2">
      <c r="O62" s="13" t="s">
        <v>83</v>
      </c>
      <c r="P62" s="31">
        <f t="shared" si="10"/>
        <v>0.11683467726673451</v>
      </c>
    </row>
    <row r="63" spans="2:20" x14ac:dyDescent="0.2">
      <c r="O63" s="13" t="s">
        <v>102</v>
      </c>
      <c r="P63" s="31">
        <f t="shared" si="10"/>
        <v>1.0648542108466693E-2</v>
      </c>
    </row>
    <row r="64" spans="2:20" x14ac:dyDescent="0.2">
      <c r="O64" s="13" t="s">
        <v>106</v>
      </c>
      <c r="P64" s="31">
        <f t="shared" si="10"/>
        <v>0.6119178552324871</v>
      </c>
    </row>
    <row r="65" spans="15:20" x14ac:dyDescent="0.2">
      <c r="O65" s="13" t="s">
        <v>114</v>
      </c>
      <c r="P65" s="31">
        <f t="shared" si="10"/>
        <v>0.2047841764258162</v>
      </c>
    </row>
    <row r="66" spans="15:20" x14ac:dyDescent="0.2">
      <c r="O66" s="13" t="s">
        <v>176</v>
      </c>
      <c r="P66" s="31">
        <f t="shared" si="10"/>
        <v>4.5950677028807778E-2</v>
      </c>
    </row>
    <row r="67" spans="15:20" x14ac:dyDescent="0.2">
      <c r="O67" s="56" t="s">
        <v>146</v>
      </c>
      <c r="P67" s="33">
        <f>Q53</f>
        <v>4.0281718794047006</v>
      </c>
    </row>
    <row r="68" spans="15:20" x14ac:dyDescent="0.2">
      <c r="O68" s="58" t="s">
        <v>179</v>
      </c>
      <c r="P68" s="34">
        <f>SUM(P58:P66)-P67</f>
        <v>0.33066033189198052</v>
      </c>
    </row>
    <row r="69" spans="15:20" x14ac:dyDescent="0.2">
      <c r="T69" s="1"/>
    </row>
    <row r="70" spans="15:20" x14ac:dyDescent="0.2">
      <c r="T70" s="1"/>
    </row>
    <row r="71" spans="15:20" x14ac:dyDescent="0.2">
      <c r="O71" s="1"/>
      <c r="P71" s="1"/>
      <c r="Q71" s="1"/>
      <c r="R71" s="1"/>
    </row>
    <row r="72" spans="15:20" x14ac:dyDescent="0.2">
      <c r="O72" s="1"/>
      <c r="P72" s="1"/>
      <c r="Q72" s="1"/>
      <c r="R72" s="1"/>
    </row>
    <row r="73" spans="15:20" x14ac:dyDescent="0.2">
      <c r="O73" s="1"/>
      <c r="P73" s="1"/>
      <c r="Q73" s="1"/>
      <c r="R73" s="1"/>
    </row>
    <row r="74" spans="15:20" x14ac:dyDescent="0.2">
      <c r="O74" s="1"/>
      <c r="P74" s="1"/>
      <c r="Q74" s="1"/>
      <c r="R74" s="1"/>
    </row>
    <row r="75" spans="15:20" x14ac:dyDescent="0.2">
      <c r="O75" s="1"/>
      <c r="P75" s="1"/>
      <c r="Q75" s="1"/>
      <c r="R75" s="1"/>
    </row>
    <row r="76" spans="15:20" x14ac:dyDescent="0.2">
      <c r="O76" s="1"/>
      <c r="P76" s="1"/>
      <c r="Q76" s="1"/>
      <c r="R76" s="1"/>
    </row>
    <row r="77" spans="15:20" x14ac:dyDescent="0.2">
      <c r="O77" s="1"/>
      <c r="P77" s="1"/>
      <c r="Q77" s="1"/>
      <c r="R77" s="1"/>
    </row>
    <row r="78" spans="15:20" x14ac:dyDescent="0.2">
      <c r="O78" s="1"/>
      <c r="P78" s="1"/>
      <c r="Q78" s="1"/>
      <c r="R78" s="1"/>
    </row>
    <row r="79" spans="15:20" x14ac:dyDescent="0.2">
      <c r="O79" s="1"/>
      <c r="P79" s="1"/>
      <c r="Q79" s="1"/>
      <c r="R79" s="1"/>
    </row>
    <row r="80" spans="15:20" x14ac:dyDescent="0.2">
      <c r="O80" s="1"/>
      <c r="P80" s="1"/>
      <c r="Q80" s="1"/>
      <c r="R80" s="1"/>
    </row>
    <row r="81" spans="15:18" x14ac:dyDescent="0.2">
      <c r="O81" s="1"/>
      <c r="P81" s="1"/>
      <c r="Q81" s="1"/>
      <c r="R81" s="1"/>
    </row>
    <row r="82" spans="15:18" x14ac:dyDescent="0.2">
      <c r="O82" s="1"/>
      <c r="P82" s="1"/>
      <c r="Q82" s="1"/>
      <c r="R82" s="1"/>
    </row>
    <row r="83" spans="15:18" x14ac:dyDescent="0.2">
      <c r="O83" s="1"/>
      <c r="P83" s="1"/>
      <c r="Q83" s="1"/>
      <c r="R83" s="1"/>
    </row>
    <row r="84" spans="15:18" x14ac:dyDescent="0.2">
      <c r="O84" s="1"/>
      <c r="P84" s="1"/>
      <c r="Q84" s="1"/>
      <c r="R84" s="1"/>
    </row>
    <row r="85" spans="15:18" x14ac:dyDescent="0.2">
      <c r="O85" s="1"/>
      <c r="P85" s="1"/>
      <c r="Q85" s="1"/>
      <c r="R85" s="1"/>
    </row>
    <row r="86" spans="15:18" x14ac:dyDescent="0.2">
      <c r="O86" s="1"/>
      <c r="P86" s="1"/>
      <c r="Q86" s="1"/>
      <c r="R86" s="1"/>
    </row>
    <row r="87" spans="15:18" x14ac:dyDescent="0.2">
      <c r="O87" s="1"/>
      <c r="P87" s="1"/>
      <c r="Q87" s="1"/>
      <c r="R87" s="1"/>
    </row>
    <row r="88" spans="15:18" x14ac:dyDescent="0.2">
      <c r="O88" s="1"/>
      <c r="P88" s="1"/>
      <c r="Q88" s="1"/>
      <c r="R88" s="1"/>
    </row>
    <row r="89" spans="15:18" x14ac:dyDescent="0.2">
      <c r="O89" s="1"/>
      <c r="P89" s="1"/>
      <c r="Q89" s="1"/>
      <c r="R89" s="1"/>
    </row>
    <row r="90" spans="15:18" x14ac:dyDescent="0.2">
      <c r="O90" s="1"/>
      <c r="P90" s="1"/>
      <c r="Q90" s="1"/>
      <c r="R90" s="1"/>
    </row>
    <row r="91" spans="15:18" x14ac:dyDescent="0.2">
      <c r="O91" s="1"/>
      <c r="P91" s="1"/>
      <c r="Q91" s="1"/>
      <c r="R91" s="1"/>
    </row>
    <row r="92" spans="15:18" x14ac:dyDescent="0.2">
      <c r="O92" s="1"/>
      <c r="P92" s="1"/>
      <c r="Q92" s="1"/>
      <c r="R92" s="1"/>
    </row>
    <row r="93" spans="15:18" x14ac:dyDescent="0.2">
      <c r="O93" s="1"/>
      <c r="P93" s="1"/>
      <c r="Q93" s="1"/>
      <c r="R93" s="1"/>
    </row>
    <row r="94" spans="15:18" x14ac:dyDescent="0.2">
      <c r="O94" s="1"/>
      <c r="P94" s="1"/>
      <c r="Q94" s="1"/>
      <c r="R94" s="1"/>
    </row>
    <row r="95" spans="15:18" x14ac:dyDescent="0.2">
      <c r="O95" s="1"/>
      <c r="P95" s="1"/>
      <c r="Q95" s="1"/>
      <c r="R95" s="1"/>
    </row>
    <row r="96" spans="15:18" x14ac:dyDescent="0.2">
      <c r="O96" s="1"/>
      <c r="P96" s="1"/>
      <c r="Q96" s="1"/>
      <c r="R96" s="1"/>
    </row>
    <row r="97" spans="15:18" x14ac:dyDescent="0.2">
      <c r="O97" s="1"/>
      <c r="P97" s="1"/>
      <c r="Q97" s="1"/>
      <c r="R97" s="1"/>
    </row>
    <row r="98" spans="15:18" x14ac:dyDescent="0.2">
      <c r="O98" s="1"/>
      <c r="P98" s="1"/>
      <c r="Q98" s="1"/>
      <c r="R98" s="1"/>
    </row>
    <row r="99" spans="15:18" x14ac:dyDescent="0.2">
      <c r="O99" s="1"/>
      <c r="P99" s="1"/>
      <c r="Q99" s="1"/>
      <c r="R99" s="1"/>
    </row>
    <row r="100" spans="15:18" x14ac:dyDescent="0.2">
      <c r="O100" s="1"/>
      <c r="P100" s="1"/>
      <c r="Q100" s="1"/>
      <c r="R100" s="1"/>
    </row>
    <row r="101" spans="15:18" x14ac:dyDescent="0.2">
      <c r="O101" s="1"/>
      <c r="P101" s="1"/>
      <c r="Q101" s="1"/>
      <c r="R101" s="1"/>
    </row>
    <row r="102" spans="15:18" x14ac:dyDescent="0.2">
      <c r="O102" s="1"/>
      <c r="P102" s="1"/>
      <c r="Q102" s="1"/>
      <c r="R102" s="1"/>
    </row>
    <row r="103" spans="15:18" x14ac:dyDescent="0.2">
      <c r="O103" s="1"/>
      <c r="P103" s="1"/>
      <c r="Q103" s="1"/>
      <c r="R103" s="1"/>
    </row>
    <row r="104" spans="15:18" x14ac:dyDescent="0.2">
      <c r="O104" s="1"/>
      <c r="P104" s="1"/>
      <c r="Q104" s="1"/>
      <c r="R104" s="1"/>
    </row>
    <row r="105" spans="15:18" x14ac:dyDescent="0.2">
      <c r="O105" s="1"/>
      <c r="P105" s="1"/>
      <c r="Q105" s="1"/>
      <c r="R105" s="1"/>
    </row>
    <row r="106" spans="15:18" x14ac:dyDescent="0.2">
      <c r="O106" s="1"/>
      <c r="P106" s="1"/>
      <c r="Q106" s="1"/>
      <c r="R106" s="1"/>
    </row>
    <row r="107" spans="15:18" x14ac:dyDescent="0.2">
      <c r="O107" s="1"/>
      <c r="P107" s="1"/>
      <c r="Q107" s="1"/>
      <c r="R107" s="1"/>
    </row>
    <row r="108" spans="15:18" x14ac:dyDescent="0.2">
      <c r="O108" s="1"/>
      <c r="P108" s="1"/>
      <c r="Q108" s="1"/>
      <c r="R108" s="1"/>
    </row>
    <row r="109" spans="15:18" x14ac:dyDescent="0.2">
      <c r="O109" s="1"/>
      <c r="P109" s="1"/>
      <c r="Q109" s="1"/>
      <c r="R109" s="1"/>
    </row>
    <row r="110" spans="15:18" x14ac:dyDescent="0.2">
      <c r="O110" s="1"/>
      <c r="P110" s="1"/>
      <c r="Q110" s="1"/>
      <c r="R110" s="1"/>
    </row>
    <row r="111" spans="15:18" x14ac:dyDescent="0.2">
      <c r="O111" s="1"/>
      <c r="P111" s="1"/>
      <c r="Q111" s="1"/>
      <c r="R111" s="1"/>
    </row>
    <row r="112" spans="15:18" x14ac:dyDescent="0.2">
      <c r="O112" s="1"/>
      <c r="P112" s="1"/>
      <c r="Q112" s="1"/>
      <c r="R112" s="1"/>
    </row>
    <row r="113" spans="15:18" x14ac:dyDescent="0.2">
      <c r="O113" s="1"/>
      <c r="P113" s="1"/>
      <c r="Q113" s="1"/>
      <c r="R113" s="1"/>
    </row>
    <row r="114" spans="15:18" x14ac:dyDescent="0.2">
      <c r="O114" s="1"/>
      <c r="P114" s="1"/>
      <c r="Q114" s="1"/>
      <c r="R114" s="1"/>
    </row>
    <row r="115" spans="15:18" x14ac:dyDescent="0.2">
      <c r="O115" s="1"/>
      <c r="P115" s="1"/>
      <c r="Q115" s="1"/>
      <c r="R115" s="1"/>
    </row>
    <row r="116" spans="15:18" x14ac:dyDescent="0.2">
      <c r="O116" s="1"/>
      <c r="P116" s="1"/>
      <c r="Q116" s="1"/>
      <c r="R116" s="1"/>
    </row>
    <row r="117" spans="15:18" x14ac:dyDescent="0.2">
      <c r="O117" s="1"/>
      <c r="P117" s="1"/>
      <c r="Q117" s="1"/>
      <c r="R117" s="1"/>
    </row>
    <row r="118" spans="15:18" x14ac:dyDescent="0.2">
      <c r="O118" s="1"/>
      <c r="P118" s="1"/>
      <c r="Q118" s="1"/>
      <c r="R118" s="1"/>
    </row>
    <row r="119" spans="15:18" x14ac:dyDescent="0.2">
      <c r="O119" s="1"/>
      <c r="P119" s="1"/>
      <c r="Q119" s="1"/>
      <c r="R119" s="1"/>
    </row>
    <row r="120" spans="15:18" x14ac:dyDescent="0.2">
      <c r="O120" s="1"/>
      <c r="P120" s="1"/>
      <c r="Q120" s="1"/>
      <c r="R120" s="1"/>
    </row>
    <row r="121" spans="15:18" x14ac:dyDescent="0.2">
      <c r="O121" s="1"/>
      <c r="P121" s="1"/>
      <c r="Q121" s="1"/>
      <c r="R121" s="1"/>
    </row>
    <row r="122" spans="15:18" x14ac:dyDescent="0.2">
      <c r="O122" s="1"/>
      <c r="P122" s="1"/>
      <c r="Q122" s="1"/>
      <c r="R122" s="1"/>
    </row>
    <row r="123" spans="15:18" x14ac:dyDescent="0.2">
      <c r="O123" s="1"/>
      <c r="P123" s="1"/>
      <c r="Q123" s="1"/>
      <c r="R123" s="1"/>
    </row>
    <row r="124" spans="15:18" x14ac:dyDescent="0.2">
      <c r="O124" s="1"/>
      <c r="P124" s="1"/>
      <c r="Q124" s="1"/>
      <c r="R124" s="1"/>
    </row>
    <row r="125" spans="15:18" x14ac:dyDescent="0.2">
      <c r="O125" s="1"/>
      <c r="P125" s="1"/>
      <c r="Q125" s="1"/>
      <c r="R125" s="1"/>
    </row>
    <row r="126" spans="15:18" x14ac:dyDescent="0.2">
      <c r="O126" s="1"/>
      <c r="P126" s="1"/>
      <c r="Q126" s="1"/>
      <c r="R126" s="1"/>
    </row>
    <row r="127" spans="15:18" x14ac:dyDescent="0.2">
      <c r="O127" s="1"/>
      <c r="P127" s="1"/>
      <c r="Q127" s="1"/>
      <c r="R127" s="1"/>
    </row>
    <row r="128" spans="15:18" x14ac:dyDescent="0.2">
      <c r="O128" s="1"/>
      <c r="P128" s="1"/>
      <c r="Q128" s="1"/>
      <c r="R128" s="1"/>
    </row>
    <row r="129" spans="15:18" x14ac:dyDescent="0.2">
      <c r="O129" s="1"/>
      <c r="P129" s="1"/>
      <c r="Q129" s="1"/>
      <c r="R129" s="1"/>
    </row>
    <row r="130" spans="15:18" x14ac:dyDescent="0.2">
      <c r="O130" s="1"/>
      <c r="P130" s="1"/>
      <c r="Q130" s="1"/>
      <c r="R130" s="1"/>
    </row>
    <row r="131" spans="15:18" x14ac:dyDescent="0.2">
      <c r="O131" s="1"/>
      <c r="P131" s="1"/>
      <c r="Q131" s="1"/>
      <c r="R131" s="1"/>
    </row>
    <row r="132" spans="15:18" x14ac:dyDescent="0.2">
      <c r="O132" s="1"/>
      <c r="P132" s="1"/>
      <c r="Q132" s="1"/>
      <c r="R132" s="1"/>
    </row>
    <row r="133" spans="15:18" x14ac:dyDescent="0.2">
      <c r="O133" s="1"/>
      <c r="P133" s="1"/>
      <c r="Q133" s="1"/>
      <c r="R133" s="1"/>
    </row>
    <row r="134" spans="15:18" x14ac:dyDescent="0.2">
      <c r="O134" s="1"/>
      <c r="P134" s="1"/>
      <c r="Q134" s="1"/>
      <c r="R134" s="1"/>
    </row>
    <row r="135" spans="15:18" x14ac:dyDescent="0.2">
      <c r="O135" s="1"/>
      <c r="P135" s="1"/>
      <c r="Q135" s="1"/>
      <c r="R135" s="1"/>
    </row>
    <row r="136" spans="15:18" x14ac:dyDescent="0.2">
      <c r="O136" s="1"/>
      <c r="P136" s="1"/>
      <c r="Q136" s="1"/>
      <c r="R136" s="1"/>
    </row>
    <row r="137" spans="15:18" x14ac:dyDescent="0.2">
      <c r="O137" s="1"/>
      <c r="P137" s="1"/>
      <c r="Q137" s="1"/>
      <c r="R137" s="1"/>
    </row>
    <row r="138" spans="15:18" x14ac:dyDescent="0.2">
      <c r="O138" s="1"/>
      <c r="P138" s="1"/>
      <c r="Q138" s="1"/>
      <c r="R138" s="1"/>
    </row>
    <row r="139" spans="15:18" x14ac:dyDescent="0.2">
      <c r="O139" s="1"/>
      <c r="P139" s="1"/>
      <c r="Q139" s="1"/>
      <c r="R139" s="1"/>
    </row>
    <row r="140" spans="15:18" x14ac:dyDescent="0.2">
      <c r="O140" s="1"/>
      <c r="P140" s="1"/>
      <c r="Q140" s="1"/>
      <c r="R140" s="1"/>
    </row>
    <row r="141" spans="15:18" x14ac:dyDescent="0.2">
      <c r="O141" s="1"/>
      <c r="P141" s="1"/>
      <c r="Q141" s="1"/>
      <c r="R141" s="1"/>
    </row>
    <row r="142" spans="15:18" x14ac:dyDescent="0.2">
      <c r="O142" s="1"/>
      <c r="P142" s="1"/>
      <c r="Q142" s="1"/>
      <c r="R142" s="1"/>
    </row>
    <row r="143" spans="15:18" x14ac:dyDescent="0.2">
      <c r="O143" s="1"/>
      <c r="P143" s="1"/>
      <c r="Q143" s="1"/>
      <c r="R143" s="1"/>
    </row>
    <row r="144" spans="15:18" x14ac:dyDescent="0.2">
      <c r="O144" s="1"/>
      <c r="P144" s="1"/>
      <c r="Q144" s="1"/>
      <c r="R144" s="1"/>
    </row>
    <row r="145" spans="15:18" x14ac:dyDescent="0.2">
      <c r="O145" s="1"/>
      <c r="P145" s="1"/>
      <c r="Q145" s="1"/>
      <c r="R145" s="1"/>
    </row>
    <row r="146" spans="15:18" x14ac:dyDescent="0.2">
      <c r="O146" s="1"/>
      <c r="P146" s="1"/>
      <c r="Q146" s="1"/>
      <c r="R146" s="1"/>
    </row>
    <row r="147" spans="15:18" x14ac:dyDescent="0.2">
      <c r="O147" s="1"/>
      <c r="P147" s="1"/>
      <c r="Q147" s="1"/>
      <c r="R147" s="1"/>
    </row>
    <row r="148" spans="15:18" x14ac:dyDescent="0.2">
      <c r="O148" s="1"/>
      <c r="P148" s="1"/>
      <c r="Q148" s="1"/>
      <c r="R148" s="1"/>
    </row>
    <row r="149" spans="15:18" x14ac:dyDescent="0.2">
      <c r="O149" s="1"/>
      <c r="P149" s="1"/>
      <c r="Q149" s="1"/>
      <c r="R149" s="1"/>
    </row>
    <row r="150" spans="15:18" x14ac:dyDescent="0.2">
      <c r="O150" s="1"/>
      <c r="P150" s="1"/>
      <c r="Q150" s="1"/>
      <c r="R150" s="1"/>
    </row>
    <row r="151" spans="15:18" x14ac:dyDescent="0.2">
      <c r="O151" s="1"/>
      <c r="P151" s="1"/>
      <c r="Q151" s="1"/>
      <c r="R151" s="1"/>
    </row>
    <row r="152" spans="15:18" x14ac:dyDescent="0.2">
      <c r="O152" s="1"/>
      <c r="P152" s="1"/>
      <c r="Q152" s="1"/>
      <c r="R152" s="1"/>
    </row>
    <row r="153" spans="15:18" x14ac:dyDescent="0.2">
      <c r="O153" s="1"/>
      <c r="P153" s="1"/>
      <c r="Q153" s="1"/>
      <c r="R153" s="1"/>
    </row>
    <row r="154" spans="15:18" x14ac:dyDescent="0.2">
      <c r="O154" s="1"/>
      <c r="P154" s="1"/>
      <c r="Q154" s="1"/>
      <c r="R154" s="1"/>
    </row>
    <row r="155" spans="15:18" x14ac:dyDescent="0.2">
      <c r="O155" s="1"/>
      <c r="P155" s="1"/>
      <c r="Q155" s="1"/>
      <c r="R155" s="1"/>
    </row>
    <row r="156" spans="15:18" x14ac:dyDescent="0.2">
      <c r="O156" s="1"/>
      <c r="P156" s="1"/>
      <c r="Q156" s="1"/>
      <c r="R156" s="1"/>
    </row>
    <row r="157" spans="15:18" x14ac:dyDescent="0.2">
      <c r="O157" s="1"/>
      <c r="P157" s="1"/>
      <c r="Q157" s="1"/>
      <c r="R157" s="1"/>
    </row>
    <row r="158" spans="15:18" x14ac:dyDescent="0.2">
      <c r="O158" s="1"/>
      <c r="P158" s="1"/>
      <c r="Q158" s="1"/>
      <c r="R158" s="1"/>
    </row>
    <row r="159" spans="15:18" x14ac:dyDescent="0.2">
      <c r="O159" s="1"/>
      <c r="P159" s="1"/>
      <c r="Q159" s="1"/>
      <c r="R159" s="1"/>
    </row>
    <row r="160" spans="15:18" x14ac:dyDescent="0.2">
      <c r="O160" s="1"/>
      <c r="P160" s="1"/>
      <c r="Q160" s="1"/>
      <c r="R160" s="1"/>
    </row>
    <row r="161" spans="15:18" x14ac:dyDescent="0.2">
      <c r="O161" s="1"/>
      <c r="P161" s="1"/>
      <c r="Q161" s="1"/>
      <c r="R161" s="1"/>
    </row>
    <row r="162" spans="15:18" x14ac:dyDescent="0.2">
      <c r="O162" s="1"/>
      <c r="P162" s="1"/>
      <c r="Q162" s="1"/>
      <c r="R162" s="1"/>
    </row>
    <row r="163" spans="15:18" x14ac:dyDescent="0.2">
      <c r="O163" s="1"/>
      <c r="P163" s="1"/>
      <c r="Q163" s="1"/>
      <c r="R163" s="1"/>
    </row>
    <row r="164" spans="15:18" x14ac:dyDescent="0.2">
      <c r="O164" s="1"/>
      <c r="P164" s="1"/>
      <c r="Q164" s="1"/>
      <c r="R164" s="1"/>
    </row>
    <row r="165" spans="15:18" x14ac:dyDescent="0.2">
      <c r="O165" s="1"/>
      <c r="P165" s="1"/>
      <c r="Q165" s="1"/>
      <c r="R165" s="1"/>
    </row>
    <row r="166" spans="15:18" x14ac:dyDescent="0.2">
      <c r="O166" s="1"/>
      <c r="P166" s="1"/>
      <c r="Q166" s="1"/>
      <c r="R166" s="1"/>
    </row>
    <row r="167" spans="15:18" x14ac:dyDescent="0.2">
      <c r="O167" s="1"/>
      <c r="P167" s="1"/>
      <c r="Q167" s="1"/>
      <c r="R167" s="1"/>
    </row>
    <row r="168" spans="15:18" x14ac:dyDescent="0.2">
      <c r="O168" s="1"/>
      <c r="P168" s="1"/>
      <c r="Q168" s="1"/>
      <c r="R168" s="1"/>
    </row>
    <row r="169" spans="15:18" x14ac:dyDescent="0.2">
      <c r="O169" s="1"/>
      <c r="P169" s="1"/>
      <c r="Q169" s="1"/>
      <c r="R169" s="1"/>
    </row>
    <row r="170" spans="15:18" x14ac:dyDescent="0.2">
      <c r="O170" s="1"/>
      <c r="P170" s="1"/>
      <c r="Q170" s="1"/>
      <c r="R170" s="1"/>
    </row>
    <row r="171" spans="15:18" x14ac:dyDescent="0.2">
      <c r="O171" s="1"/>
      <c r="P171" s="1"/>
      <c r="Q171" s="1"/>
      <c r="R171" s="1"/>
    </row>
    <row r="172" spans="15:18" x14ac:dyDescent="0.2">
      <c r="O172" s="1"/>
      <c r="P172" s="1"/>
      <c r="Q172" s="1"/>
      <c r="R172" s="1"/>
    </row>
    <row r="173" spans="15:18" x14ac:dyDescent="0.2">
      <c r="O173" s="1"/>
      <c r="P173" s="1"/>
      <c r="Q173" s="1"/>
      <c r="R173" s="1"/>
    </row>
    <row r="174" spans="15:18" x14ac:dyDescent="0.2">
      <c r="O174" s="1"/>
      <c r="P174" s="1"/>
      <c r="Q174" s="1"/>
      <c r="R174" s="1"/>
    </row>
    <row r="175" spans="15:18" x14ac:dyDescent="0.2">
      <c r="O175" s="1"/>
      <c r="P175" s="1"/>
      <c r="Q175" s="1"/>
      <c r="R175" s="1"/>
    </row>
    <row r="176" spans="15:18" x14ac:dyDescent="0.2">
      <c r="O176" s="1"/>
      <c r="P176" s="1"/>
      <c r="Q176" s="1"/>
      <c r="R176" s="1"/>
    </row>
    <row r="177" spans="15:18" x14ac:dyDescent="0.2">
      <c r="O177" s="1"/>
      <c r="P177" s="1"/>
      <c r="Q177" s="1"/>
      <c r="R177" s="1"/>
    </row>
    <row r="178" spans="15:18" x14ac:dyDescent="0.2">
      <c r="O178" s="1"/>
      <c r="P178" s="1"/>
      <c r="Q178" s="1"/>
      <c r="R178" s="1"/>
    </row>
    <row r="179" spans="15:18" x14ac:dyDescent="0.2">
      <c r="O179" s="1"/>
      <c r="P179" s="1"/>
      <c r="Q179" s="1"/>
      <c r="R179" s="1"/>
    </row>
    <row r="180" spans="15:18" x14ac:dyDescent="0.2">
      <c r="O180" s="1"/>
      <c r="P180" s="1"/>
      <c r="Q180" s="1"/>
      <c r="R180" s="1"/>
    </row>
    <row r="181" spans="15:18" x14ac:dyDescent="0.2">
      <c r="O181" s="1"/>
      <c r="P181" s="1"/>
      <c r="Q181" s="1"/>
      <c r="R181" s="1"/>
    </row>
    <row r="182" spans="15:18" x14ac:dyDescent="0.2">
      <c r="O182" s="1"/>
      <c r="P182" s="1"/>
      <c r="Q182" s="1"/>
      <c r="R182" s="1"/>
    </row>
    <row r="183" spans="15:18" x14ac:dyDescent="0.2">
      <c r="O183" s="1"/>
      <c r="P183" s="1"/>
      <c r="Q183" s="1"/>
      <c r="R183" s="1"/>
    </row>
    <row r="184" spans="15:18" x14ac:dyDescent="0.2">
      <c r="O184" s="1"/>
      <c r="P184" s="1"/>
      <c r="Q184" s="1"/>
      <c r="R184" s="1"/>
    </row>
    <row r="185" spans="15:18" x14ac:dyDescent="0.2">
      <c r="O185" s="1"/>
      <c r="P185" s="1"/>
      <c r="Q185" s="1"/>
      <c r="R185" s="1"/>
    </row>
    <row r="186" spans="15:18" x14ac:dyDescent="0.2">
      <c r="O186" s="1"/>
      <c r="P186" s="1"/>
      <c r="Q186" s="1"/>
      <c r="R186" s="1"/>
    </row>
    <row r="187" spans="15:18" x14ac:dyDescent="0.2">
      <c r="O187" s="1"/>
      <c r="P187" s="1"/>
      <c r="Q187" s="1"/>
      <c r="R187" s="1"/>
    </row>
    <row r="188" spans="15:18" x14ac:dyDescent="0.2">
      <c r="O188" s="1"/>
      <c r="P188" s="1"/>
      <c r="Q188" s="1"/>
      <c r="R188" s="1"/>
    </row>
    <row r="189" spans="15:18" x14ac:dyDescent="0.2">
      <c r="O189" s="1"/>
      <c r="P189" s="1"/>
      <c r="Q189" s="1"/>
      <c r="R189" s="1"/>
    </row>
    <row r="190" spans="15:18" x14ac:dyDescent="0.2">
      <c r="O190" s="1"/>
      <c r="P190" s="1"/>
      <c r="Q190" s="1"/>
      <c r="R190" s="1"/>
    </row>
    <row r="191" spans="15:18" x14ac:dyDescent="0.2">
      <c r="O191" s="1"/>
      <c r="P191" s="1"/>
      <c r="Q191" s="1"/>
      <c r="R191" s="1"/>
    </row>
    <row r="192" spans="15:18" x14ac:dyDescent="0.2">
      <c r="O192" s="1"/>
      <c r="P192" s="1"/>
      <c r="Q192" s="1"/>
      <c r="R192" s="1"/>
    </row>
    <row r="193" spans="15:18" x14ac:dyDescent="0.2">
      <c r="O193" s="1"/>
      <c r="P193" s="1"/>
      <c r="Q193" s="1"/>
      <c r="R193" s="1"/>
    </row>
    <row r="194" spans="15:18" x14ac:dyDescent="0.2">
      <c r="O194" s="1"/>
      <c r="P194" s="1"/>
      <c r="Q194" s="1"/>
      <c r="R194" s="1"/>
    </row>
    <row r="195" spans="15:18" x14ac:dyDescent="0.2">
      <c r="O195" s="1"/>
      <c r="P195" s="1"/>
      <c r="Q195" s="1"/>
      <c r="R195" s="1"/>
    </row>
    <row r="196" spans="15:18" x14ac:dyDescent="0.2">
      <c r="O196" s="1"/>
      <c r="P196" s="1"/>
      <c r="Q196" s="1"/>
      <c r="R196" s="1"/>
    </row>
    <row r="197" spans="15:18" x14ac:dyDescent="0.2">
      <c r="O197" s="1"/>
      <c r="P197" s="1"/>
      <c r="Q197" s="1"/>
      <c r="R197" s="1"/>
    </row>
    <row r="198" spans="15:18" x14ac:dyDescent="0.2">
      <c r="O198" s="1"/>
      <c r="P198" s="1"/>
      <c r="Q198" s="1"/>
      <c r="R198" s="1"/>
    </row>
    <row r="199" spans="15:18" x14ac:dyDescent="0.2">
      <c r="O199" s="1"/>
      <c r="P199" s="1"/>
      <c r="Q199" s="1"/>
      <c r="R199" s="1"/>
    </row>
    <row r="200" spans="15:18" x14ac:dyDescent="0.2">
      <c r="O200" s="1"/>
      <c r="P200" s="1"/>
      <c r="Q200" s="1"/>
      <c r="R200" s="1"/>
    </row>
    <row r="201" spans="15:18" x14ac:dyDescent="0.2">
      <c r="O201" s="1"/>
      <c r="P201" s="1"/>
      <c r="Q201" s="1"/>
      <c r="R201" s="1"/>
    </row>
    <row r="202" spans="15:18" x14ac:dyDescent="0.2">
      <c r="O202" s="1"/>
      <c r="P202" s="1"/>
      <c r="Q202" s="1"/>
      <c r="R202" s="1"/>
    </row>
    <row r="203" spans="15:18" x14ac:dyDescent="0.2">
      <c r="O203" s="1"/>
      <c r="P203" s="1"/>
      <c r="Q203" s="1"/>
      <c r="R203" s="1"/>
    </row>
    <row r="204" spans="15:18" x14ac:dyDescent="0.2">
      <c r="O204" s="1"/>
      <c r="P204" s="1"/>
      <c r="Q204" s="1"/>
      <c r="R204" s="1"/>
    </row>
    <row r="205" spans="15:18" x14ac:dyDescent="0.2">
      <c r="O205" s="1"/>
      <c r="P205" s="1"/>
      <c r="Q205" s="1"/>
      <c r="R205" s="1"/>
    </row>
    <row r="206" spans="15:18" x14ac:dyDescent="0.2">
      <c r="O206" s="1"/>
      <c r="P206" s="1"/>
      <c r="Q206" s="1"/>
      <c r="R206" s="1"/>
    </row>
    <row r="207" spans="15:18" x14ac:dyDescent="0.2">
      <c r="O207" s="1"/>
      <c r="P207" s="1"/>
      <c r="Q207" s="1"/>
      <c r="R207" s="1"/>
    </row>
    <row r="208" spans="15:18" x14ac:dyDescent="0.2">
      <c r="O208" s="1"/>
      <c r="P208" s="1"/>
      <c r="Q208" s="1"/>
      <c r="R208" s="1"/>
    </row>
    <row r="209" spans="15:18" x14ac:dyDescent="0.2">
      <c r="O209" s="1"/>
      <c r="P209" s="1"/>
      <c r="Q209" s="1"/>
      <c r="R209" s="1"/>
    </row>
    <row r="210" spans="15:18" x14ac:dyDescent="0.2">
      <c r="O210" s="1"/>
      <c r="P210" s="1"/>
      <c r="Q210" s="1"/>
      <c r="R210" s="1"/>
    </row>
    <row r="211" spans="15:18" x14ac:dyDescent="0.2">
      <c r="O211" s="1"/>
      <c r="P211" s="1"/>
      <c r="Q211" s="1"/>
      <c r="R211" s="1"/>
    </row>
    <row r="212" spans="15:18" x14ac:dyDescent="0.2">
      <c r="O212" s="1"/>
      <c r="P212" s="1"/>
      <c r="Q212" s="1"/>
      <c r="R212" s="1"/>
    </row>
    <row r="213" spans="15:18" x14ac:dyDescent="0.2">
      <c r="O213" s="1"/>
      <c r="P213" s="1"/>
      <c r="Q213" s="1"/>
      <c r="R213" s="1"/>
    </row>
    <row r="214" spans="15:18" x14ac:dyDescent="0.2">
      <c r="O214" s="1"/>
      <c r="P214" s="1"/>
      <c r="Q214" s="1"/>
      <c r="R214" s="1"/>
    </row>
    <row r="215" spans="15:18" x14ac:dyDescent="0.2">
      <c r="O215" s="1"/>
      <c r="P215" s="1"/>
      <c r="Q215" s="1"/>
      <c r="R215" s="1"/>
    </row>
    <row r="216" spans="15:18" x14ac:dyDescent="0.2">
      <c r="O216" s="1"/>
      <c r="P216" s="1"/>
      <c r="Q216" s="1"/>
      <c r="R216" s="1"/>
    </row>
    <row r="217" spans="15:18" x14ac:dyDescent="0.2">
      <c r="O217" s="1"/>
      <c r="P217" s="1"/>
      <c r="Q217" s="1"/>
      <c r="R217" s="1"/>
    </row>
    <row r="218" spans="15:18" x14ac:dyDescent="0.2">
      <c r="O218" s="1"/>
      <c r="P218" s="1"/>
      <c r="Q218" s="1"/>
      <c r="R218" s="1"/>
    </row>
    <row r="219" spans="15:18" x14ac:dyDescent="0.2">
      <c r="O219" s="1"/>
      <c r="P219" s="1"/>
      <c r="Q219" s="1"/>
      <c r="R219" s="1"/>
    </row>
    <row r="220" spans="15:18" x14ac:dyDescent="0.2">
      <c r="O220" s="1"/>
      <c r="P220" s="1"/>
      <c r="Q220" s="1"/>
      <c r="R220" s="1"/>
    </row>
    <row r="221" spans="15:18" x14ac:dyDescent="0.2">
      <c r="O221" s="1"/>
      <c r="P221" s="1"/>
      <c r="Q221" s="1"/>
      <c r="R221" s="1"/>
    </row>
    <row r="222" spans="15:18" x14ac:dyDescent="0.2">
      <c r="O222" s="1"/>
      <c r="P222" s="1"/>
      <c r="Q222" s="1"/>
      <c r="R222" s="1"/>
    </row>
    <row r="223" spans="15:18" x14ac:dyDescent="0.2">
      <c r="O223" s="1"/>
      <c r="P223" s="1"/>
      <c r="Q223" s="1"/>
      <c r="R223" s="1"/>
    </row>
    <row r="224" spans="15:18" x14ac:dyDescent="0.2">
      <c r="O224" s="1"/>
      <c r="P224" s="1"/>
      <c r="Q224" s="1"/>
      <c r="R224" s="1"/>
    </row>
    <row r="225" spans="15:18" x14ac:dyDescent="0.2">
      <c r="O225" s="1"/>
      <c r="P225" s="1"/>
      <c r="Q225" s="1"/>
      <c r="R225" s="1"/>
    </row>
    <row r="226" spans="15:18" x14ac:dyDescent="0.2">
      <c r="O226" s="1"/>
      <c r="P226" s="1"/>
      <c r="Q226" s="1"/>
      <c r="R226" s="1"/>
    </row>
    <row r="227" spans="15:18" x14ac:dyDescent="0.2">
      <c r="O227" s="1"/>
      <c r="P227" s="1"/>
      <c r="Q227" s="1"/>
      <c r="R227" s="1"/>
    </row>
    <row r="228" spans="15:18" x14ac:dyDescent="0.2">
      <c r="O228" s="1"/>
      <c r="P228" s="1"/>
      <c r="Q228" s="1"/>
      <c r="R228" s="1"/>
    </row>
    <row r="229" spans="15:18" x14ac:dyDescent="0.2">
      <c r="O229" s="1"/>
      <c r="P229" s="1"/>
      <c r="Q229" s="1"/>
      <c r="R229" s="1"/>
    </row>
    <row r="230" spans="15:18" x14ac:dyDescent="0.2">
      <c r="O230" s="1"/>
      <c r="P230" s="1"/>
      <c r="Q230" s="1"/>
      <c r="R230" s="1"/>
    </row>
    <row r="231" spans="15:18" x14ac:dyDescent="0.2">
      <c r="O231" s="1"/>
      <c r="P231" s="1"/>
      <c r="Q231" s="1"/>
      <c r="R231" s="1"/>
    </row>
    <row r="232" spans="15:18" x14ac:dyDescent="0.2">
      <c r="O232" s="1"/>
      <c r="P232" s="1"/>
      <c r="Q232" s="1"/>
      <c r="R232" s="1"/>
    </row>
    <row r="233" spans="15:18" x14ac:dyDescent="0.2">
      <c r="O233" s="1"/>
      <c r="P233" s="1"/>
      <c r="Q233" s="1"/>
      <c r="R233" s="1"/>
    </row>
    <row r="234" spans="15:18" x14ac:dyDescent="0.2">
      <c r="O234" s="1"/>
      <c r="P234" s="1"/>
      <c r="Q234" s="1"/>
      <c r="R234" s="1"/>
    </row>
    <row r="235" spans="15:18" x14ac:dyDescent="0.2">
      <c r="O235" s="1"/>
      <c r="P235" s="1"/>
      <c r="Q235" s="1"/>
      <c r="R235" s="1"/>
    </row>
    <row r="236" spans="15:18" x14ac:dyDescent="0.2">
      <c r="O236" s="1"/>
      <c r="P236" s="1"/>
      <c r="Q236" s="1"/>
      <c r="R236" s="1"/>
    </row>
    <row r="237" spans="15:18" x14ac:dyDescent="0.2">
      <c r="O237" s="1"/>
      <c r="P237" s="1"/>
      <c r="Q237" s="1"/>
      <c r="R237" s="1"/>
    </row>
    <row r="238" spans="15:18" x14ac:dyDescent="0.2">
      <c r="O238" s="1"/>
      <c r="P238" s="1"/>
      <c r="Q238" s="1"/>
      <c r="R238" s="1"/>
    </row>
    <row r="239" spans="15:18" x14ac:dyDescent="0.2">
      <c r="O239" s="1"/>
      <c r="P239" s="1"/>
      <c r="Q239" s="1"/>
      <c r="R239" s="1"/>
    </row>
    <row r="240" spans="15:18" x14ac:dyDescent="0.2">
      <c r="O240" s="1"/>
      <c r="P240" s="1"/>
      <c r="Q240" s="1"/>
      <c r="R240" s="1"/>
    </row>
    <row r="241" spans="15:18" x14ac:dyDescent="0.2">
      <c r="O241" s="1"/>
      <c r="P241" s="1"/>
      <c r="Q241" s="1"/>
      <c r="R241" s="1"/>
    </row>
    <row r="242" spans="15:18" x14ac:dyDescent="0.2">
      <c r="O242" s="1"/>
      <c r="P242" s="1"/>
      <c r="Q242" s="1"/>
      <c r="R242" s="1"/>
    </row>
    <row r="243" spans="15:18" x14ac:dyDescent="0.2">
      <c r="O243" s="1"/>
      <c r="P243" s="1"/>
      <c r="Q243" s="1"/>
      <c r="R243" s="1"/>
    </row>
    <row r="244" spans="15:18" x14ac:dyDescent="0.2">
      <c r="O244" s="1"/>
      <c r="P244" s="1"/>
      <c r="Q244" s="1"/>
      <c r="R244" s="1"/>
    </row>
    <row r="245" spans="15:18" x14ac:dyDescent="0.2">
      <c r="O245" s="1"/>
      <c r="P245" s="1"/>
      <c r="Q245" s="1"/>
      <c r="R245" s="1"/>
    </row>
    <row r="246" spans="15:18" x14ac:dyDescent="0.2">
      <c r="O246" s="1"/>
      <c r="P246" s="1"/>
      <c r="Q246" s="1"/>
      <c r="R246" s="1"/>
    </row>
    <row r="247" spans="15:18" x14ac:dyDescent="0.2">
      <c r="O247" s="1"/>
      <c r="P247" s="1"/>
      <c r="Q247" s="1"/>
      <c r="R247" s="1"/>
    </row>
    <row r="248" spans="15:18" x14ac:dyDescent="0.2">
      <c r="O248" s="1"/>
      <c r="P248" s="1"/>
      <c r="Q248" s="1"/>
      <c r="R248" s="1"/>
    </row>
    <row r="249" spans="15:18" x14ac:dyDescent="0.2">
      <c r="O249" s="1"/>
      <c r="P249" s="1"/>
      <c r="Q249" s="1"/>
      <c r="R249" s="1"/>
    </row>
    <row r="250" spans="15:18" x14ac:dyDescent="0.2">
      <c r="O250" s="1"/>
      <c r="P250" s="1"/>
      <c r="Q250" s="1"/>
      <c r="R250" s="1"/>
    </row>
    <row r="251" spans="15:18" x14ac:dyDescent="0.2">
      <c r="O251" s="1"/>
      <c r="P251" s="1"/>
      <c r="Q251" s="1"/>
      <c r="R251" s="1"/>
    </row>
    <row r="252" spans="15:18" x14ac:dyDescent="0.2">
      <c r="O252" s="1"/>
      <c r="P252" s="1"/>
      <c r="Q252" s="1"/>
      <c r="R252" s="1"/>
    </row>
    <row r="253" spans="15:18" x14ac:dyDescent="0.2">
      <c r="O253" s="1"/>
      <c r="P253" s="1"/>
      <c r="Q253" s="1"/>
      <c r="R253" s="1"/>
    </row>
    <row r="254" spans="15:18" x14ac:dyDescent="0.2">
      <c r="O254" s="1"/>
      <c r="P254" s="1"/>
      <c r="Q254" s="1"/>
      <c r="R254" s="1"/>
    </row>
    <row r="255" spans="15:18" x14ac:dyDescent="0.2">
      <c r="O255" s="1"/>
      <c r="P255" s="1"/>
      <c r="Q255" s="1"/>
      <c r="R255" s="1"/>
    </row>
    <row r="256" spans="15:18" x14ac:dyDescent="0.2">
      <c r="O256" s="1"/>
      <c r="P256" s="1"/>
      <c r="Q256" s="1"/>
      <c r="R256" s="1"/>
    </row>
    <row r="257" spans="15:18" x14ac:dyDescent="0.2">
      <c r="O257" s="1"/>
      <c r="P257" s="1"/>
      <c r="Q257" s="1"/>
      <c r="R257" s="1"/>
    </row>
    <row r="258" spans="15:18" x14ac:dyDescent="0.2">
      <c r="O258" s="1"/>
      <c r="P258" s="1"/>
      <c r="Q258" s="1"/>
      <c r="R258" s="1"/>
    </row>
    <row r="259" spans="15:18" x14ac:dyDescent="0.2">
      <c r="O259" s="1"/>
      <c r="P259" s="1"/>
      <c r="Q259" s="1"/>
      <c r="R259" s="1"/>
    </row>
    <row r="260" spans="15:18" x14ac:dyDescent="0.2">
      <c r="O260" s="1"/>
      <c r="P260" s="1"/>
      <c r="Q260" s="1"/>
      <c r="R260" s="1"/>
    </row>
    <row r="261" spans="15:18" x14ac:dyDescent="0.2">
      <c r="O261" s="1"/>
      <c r="P261" s="1"/>
      <c r="Q261" s="1"/>
      <c r="R261" s="1"/>
    </row>
    <row r="262" spans="15:18" x14ac:dyDescent="0.2">
      <c r="O262" s="1"/>
      <c r="P262" s="1"/>
      <c r="Q262" s="1"/>
      <c r="R262" s="1"/>
    </row>
    <row r="263" spans="15:18" x14ac:dyDescent="0.2">
      <c r="O263" s="1"/>
      <c r="P263" s="1"/>
      <c r="Q263" s="1"/>
      <c r="R263" s="1"/>
    </row>
    <row r="264" spans="15:18" x14ac:dyDescent="0.2">
      <c r="O264" s="1"/>
      <c r="P264" s="1"/>
      <c r="Q264" s="1"/>
      <c r="R264" s="1"/>
    </row>
    <row r="265" spans="15:18" x14ac:dyDescent="0.2">
      <c r="O265" s="1"/>
      <c r="P265" s="1"/>
      <c r="Q265" s="1"/>
      <c r="R265" s="1"/>
    </row>
    <row r="266" spans="15:18" x14ac:dyDescent="0.2">
      <c r="O266" s="1"/>
      <c r="P266" s="1"/>
      <c r="Q266" s="1"/>
      <c r="R266" s="1"/>
    </row>
    <row r="267" spans="15:18" x14ac:dyDescent="0.2">
      <c r="O267" s="1"/>
      <c r="P267" s="1"/>
      <c r="Q267" s="1"/>
      <c r="R267" s="1"/>
    </row>
    <row r="268" spans="15:18" x14ac:dyDescent="0.2">
      <c r="O268" s="1"/>
      <c r="P268" s="1"/>
      <c r="Q268" s="1"/>
      <c r="R268" s="1"/>
    </row>
    <row r="269" spans="15:18" x14ac:dyDescent="0.2">
      <c r="O269" s="1"/>
      <c r="P269" s="1"/>
      <c r="Q269" s="1"/>
      <c r="R269" s="1"/>
    </row>
    <row r="270" spans="15:18" x14ac:dyDescent="0.2">
      <c r="O270" s="1"/>
      <c r="P270" s="1"/>
      <c r="Q270" s="1"/>
      <c r="R270" s="1"/>
    </row>
    <row r="271" spans="15:18" x14ac:dyDescent="0.2">
      <c r="O271" s="1"/>
      <c r="P271" s="1"/>
      <c r="Q271" s="1"/>
      <c r="R271" s="1"/>
    </row>
    <row r="272" spans="15:18" x14ac:dyDescent="0.2">
      <c r="O272" s="1"/>
      <c r="P272" s="1"/>
      <c r="Q272" s="1"/>
      <c r="R272" s="1"/>
    </row>
    <row r="273" spans="15:18" x14ac:dyDescent="0.2">
      <c r="O273" s="1"/>
      <c r="P273" s="1"/>
      <c r="Q273" s="1"/>
      <c r="R273" s="1"/>
    </row>
    <row r="274" spans="15:18" x14ac:dyDescent="0.2">
      <c r="O274" s="1"/>
      <c r="P274" s="1"/>
      <c r="Q274" s="1"/>
      <c r="R274" s="1"/>
    </row>
    <row r="275" spans="15:18" x14ac:dyDescent="0.2">
      <c r="O275" s="1"/>
      <c r="P275" s="1"/>
      <c r="Q275" s="1"/>
      <c r="R275" s="1"/>
    </row>
    <row r="276" spans="15:18" x14ac:dyDescent="0.2">
      <c r="O276" s="1"/>
      <c r="P276" s="1"/>
      <c r="Q276" s="1"/>
      <c r="R276" s="1"/>
    </row>
    <row r="277" spans="15:18" x14ac:dyDescent="0.2">
      <c r="O277" s="1"/>
      <c r="P277" s="1"/>
      <c r="Q277" s="1"/>
      <c r="R277" s="1"/>
    </row>
    <row r="278" spans="15:18" x14ac:dyDescent="0.2">
      <c r="O278" s="1"/>
      <c r="P278" s="1"/>
      <c r="Q278" s="1"/>
      <c r="R278" s="1"/>
    </row>
    <row r="279" spans="15:18" x14ac:dyDescent="0.2">
      <c r="O279" s="1"/>
      <c r="P279" s="1"/>
      <c r="Q279" s="1"/>
      <c r="R279" s="1"/>
    </row>
    <row r="280" spans="15:18" x14ac:dyDescent="0.2">
      <c r="O280" s="1"/>
      <c r="P280" s="1"/>
      <c r="Q280" s="1"/>
      <c r="R280" s="1"/>
    </row>
    <row r="281" spans="15:18" x14ac:dyDescent="0.2">
      <c r="O281" s="1"/>
      <c r="P281" s="1"/>
      <c r="Q281" s="1"/>
      <c r="R281" s="1"/>
    </row>
    <row r="282" spans="15:18" x14ac:dyDescent="0.2">
      <c r="O282" s="1"/>
      <c r="P282" s="1"/>
      <c r="Q282" s="1"/>
      <c r="R282" s="1"/>
    </row>
    <row r="283" spans="15:18" x14ac:dyDescent="0.2">
      <c r="O283" s="1"/>
      <c r="P283" s="1"/>
      <c r="Q283" s="1"/>
      <c r="R283" s="1"/>
    </row>
    <row r="284" spans="15:18" x14ac:dyDescent="0.2">
      <c r="O284" s="1"/>
      <c r="P284" s="1"/>
      <c r="Q284" s="1"/>
      <c r="R284" s="1"/>
    </row>
    <row r="285" spans="15:18" x14ac:dyDescent="0.2">
      <c r="O285" s="1"/>
      <c r="P285" s="1"/>
      <c r="Q285" s="1"/>
      <c r="R285" s="1"/>
    </row>
    <row r="286" spans="15:18" x14ac:dyDescent="0.2">
      <c r="O286" s="1"/>
      <c r="P286" s="1"/>
      <c r="Q286" s="1"/>
      <c r="R286" s="1"/>
    </row>
    <row r="287" spans="15:18" x14ac:dyDescent="0.2">
      <c r="O287" s="1"/>
      <c r="P287" s="1"/>
      <c r="Q287" s="1"/>
      <c r="R287" s="1"/>
    </row>
    <row r="288" spans="15:18" x14ac:dyDescent="0.2">
      <c r="O288" s="1"/>
      <c r="P288" s="1"/>
      <c r="Q288" s="1"/>
      <c r="R288" s="1"/>
    </row>
    <row r="289" spans="15:18" x14ac:dyDescent="0.2">
      <c r="O289" s="1"/>
      <c r="P289" s="1"/>
      <c r="Q289" s="1"/>
      <c r="R289" s="1"/>
    </row>
    <row r="290" spans="15:18" x14ac:dyDescent="0.2">
      <c r="O290" s="1"/>
      <c r="P290" s="1"/>
      <c r="Q290" s="1"/>
      <c r="R290" s="1"/>
    </row>
    <row r="291" spans="15:18" x14ac:dyDescent="0.2">
      <c r="O291" s="1"/>
      <c r="P291" s="1"/>
      <c r="Q291" s="1"/>
      <c r="R291" s="1"/>
    </row>
    <row r="292" spans="15:18" x14ac:dyDescent="0.2">
      <c r="O292" s="1"/>
      <c r="P292" s="1"/>
      <c r="Q292" s="1"/>
      <c r="R292" s="1"/>
    </row>
    <row r="293" spans="15:18" x14ac:dyDescent="0.2">
      <c r="O293" s="1"/>
      <c r="P293" s="1"/>
      <c r="Q293" s="1"/>
      <c r="R293" s="1"/>
    </row>
    <row r="294" spans="15:18" x14ac:dyDescent="0.2">
      <c r="O294" s="1"/>
      <c r="P294" s="1"/>
      <c r="Q294" s="1"/>
      <c r="R294" s="1"/>
    </row>
    <row r="295" spans="15:18" x14ac:dyDescent="0.2">
      <c r="O295" s="1"/>
      <c r="P295" s="1"/>
      <c r="Q295" s="1"/>
      <c r="R295" s="1"/>
    </row>
    <row r="296" spans="15:18" x14ac:dyDescent="0.2">
      <c r="O296" s="1"/>
      <c r="P296" s="1"/>
      <c r="Q296" s="1"/>
      <c r="R296" s="1"/>
    </row>
    <row r="297" spans="15:18" x14ac:dyDescent="0.2">
      <c r="O297" s="1"/>
      <c r="P297" s="1"/>
      <c r="Q297" s="1"/>
      <c r="R297" s="1"/>
    </row>
    <row r="298" spans="15:18" x14ac:dyDescent="0.2">
      <c r="O298" s="1"/>
      <c r="P298" s="1"/>
      <c r="Q298" s="1"/>
      <c r="R298" s="1"/>
    </row>
    <row r="299" spans="15:18" x14ac:dyDescent="0.2">
      <c r="O299" s="1"/>
      <c r="P299" s="1"/>
      <c r="Q299" s="1"/>
      <c r="R299" s="1"/>
    </row>
    <row r="300" spans="15:18" x14ac:dyDescent="0.2">
      <c r="O300" s="1"/>
      <c r="P300" s="1"/>
      <c r="Q300" s="1"/>
      <c r="R300" s="1"/>
    </row>
    <row r="301" spans="15:18" x14ac:dyDescent="0.2">
      <c r="O301" s="1"/>
      <c r="P301" s="1"/>
      <c r="Q301" s="1"/>
      <c r="R301" s="1"/>
    </row>
    <row r="302" spans="15:18" x14ac:dyDescent="0.2">
      <c r="O302" s="1"/>
      <c r="P302" s="1"/>
      <c r="Q302" s="1"/>
      <c r="R302" s="1"/>
    </row>
    <row r="303" spans="15:18" x14ac:dyDescent="0.2">
      <c r="O303" s="1"/>
      <c r="P303" s="1"/>
      <c r="Q303" s="1"/>
      <c r="R303" s="1"/>
    </row>
    <row r="304" spans="15:18" x14ac:dyDescent="0.2">
      <c r="O304" s="1"/>
      <c r="P304" s="1"/>
      <c r="Q304" s="1"/>
      <c r="R304" s="1"/>
    </row>
    <row r="305" spans="15:18" x14ac:dyDescent="0.2">
      <c r="O305" s="1"/>
      <c r="P305" s="1"/>
      <c r="Q305" s="1"/>
      <c r="R305" s="1"/>
    </row>
    <row r="306" spans="15:18" x14ac:dyDescent="0.2">
      <c r="O306" s="1"/>
      <c r="P306" s="1"/>
      <c r="Q306" s="1"/>
      <c r="R306" s="1"/>
    </row>
    <row r="307" spans="15:18" x14ac:dyDescent="0.2">
      <c r="O307" s="1"/>
      <c r="P307" s="1"/>
      <c r="Q307" s="1"/>
      <c r="R307" s="1"/>
    </row>
    <row r="308" spans="15:18" x14ac:dyDescent="0.2">
      <c r="O308" s="1"/>
      <c r="P308" s="1"/>
      <c r="Q308" s="1"/>
      <c r="R308" s="1"/>
    </row>
    <row r="309" spans="15:18" x14ac:dyDescent="0.2">
      <c r="O309" s="1"/>
      <c r="P309" s="1"/>
      <c r="Q309" s="1"/>
      <c r="R309" s="1"/>
    </row>
    <row r="310" spans="15:18" x14ac:dyDescent="0.2">
      <c r="O310" s="1"/>
      <c r="P310" s="1"/>
      <c r="Q310" s="1"/>
      <c r="R310" s="1"/>
    </row>
    <row r="311" spans="15:18" x14ac:dyDescent="0.2">
      <c r="O311" s="1"/>
      <c r="P311" s="1"/>
      <c r="Q311" s="1"/>
      <c r="R311" s="1"/>
    </row>
    <row r="312" spans="15:18" x14ac:dyDescent="0.2">
      <c r="O312" s="1"/>
      <c r="P312" s="1"/>
      <c r="Q312" s="1"/>
      <c r="R312" s="1"/>
    </row>
    <row r="313" spans="15:18" x14ac:dyDescent="0.2">
      <c r="O313" s="1"/>
      <c r="P313" s="1"/>
      <c r="Q313" s="1"/>
      <c r="R313" s="1"/>
    </row>
    <row r="314" spans="15:18" x14ac:dyDescent="0.2">
      <c r="O314" s="1"/>
      <c r="P314" s="1"/>
      <c r="Q314" s="1"/>
      <c r="R314" s="1"/>
    </row>
    <row r="315" spans="15:18" x14ac:dyDescent="0.2">
      <c r="O315" s="1"/>
      <c r="P315" s="1"/>
      <c r="Q315" s="1"/>
      <c r="R315" s="1"/>
    </row>
    <row r="316" spans="15:18" x14ac:dyDescent="0.2">
      <c r="O316" s="1"/>
      <c r="P316" s="1"/>
      <c r="Q316" s="1"/>
      <c r="R316" s="1"/>
    </row>
    <row r="317" spans="15:18" x14ac:dyDescent="0.2">
      <c r="O317" s="1"/>
      <c r="P317" s="1"/>
      <c r="Q317" s="1"/>
      <c r="R317" s="1"/>
    </row>
    <row r="318" spans="15:18" x14ac:dyDescent="0.2">
      <c r="O318" s="1"/>
      <c r="P318" s="1"/>
      <c r="Q318" s="1"/>
      <c r="R318" s="1"/>
    </row>
    <row r="319" spans="15:18" x14ac:dyDescent="0.2">
      <c r="O319" s="1"/>
      <c r="P319" s="1"/>
      <c r="Q319" s="1"/>
      <c r="R319" s="1"/>
    </row>
    <row r="320" spans="15:18" x14ac:dyDescent="0.2">
      <c r="O320" s="1"/>
      <c r="P320" s="1"/>
      <c r="Q320" s="1"/>
      <c r="R320" s="1"/>
    </row>
    <row r="321" spans="15:18" x14ac:dyDescent="0.2">
      <c r="O321" s="1"/>
      <c r="P321" s="1"/>
      <c r="Q321" s="1"/>
      <c r="R321" s="1"/>
    </row>
    <row r="322" spans="15:18" x14ac:dyDescent="0.2">
      <c r="O322" s="1"/>
      <c r="P322" s="1"/>
      <c r="Q322" s="1"/>
      <c r="R322" s="1"/>
    </row>
    <row r="323" spans="15:18" x14ac:dyDescent="0.2">
      <c r="O323" s="1"/>
      <c r="P323" s="1"/>
      <c r="Q323" s="1"/>
      <c r="R323" s="1"/>
    </row>
    <row r="324" spans="15:18" x14ac:dyDescent="0.2">
      <c r="O324" s="1"/>
      <c r="P324" s="1"/>
      <c r="Q324" s="1"/>
      <c r="R324" s="1"/>
    </row>
    <row r="325" spans="15:18" x14ac:dyDescent="0.2">
      <c r="O325" s="1"/>
      <c r="P325" s="1"/>
      <c r="Q325" s="1"/>
      <c r="R325" s="1"/>
    </row>
    <row r="326" spans="15:18" x14ac:dyDescent="0.2">
      <c r="O326" s="1"/>
      <c r="P326" s="1"/>
      <c r="Q326" s="1"/>
      <c r="R326" s="1"/>
    </row>
    <row r="327" spans="15:18" x14ac:dyDescent="0.2">
      <c r="O327" s="1"/>
      <c r="P327" s="1"/>
      <c r="Q327" s="1"/>
      <c r="R327" s="1"/>
    </row>
    <row r="328" spans="15:18" x14ac:dyDescent="0.2">
      <c r="O328" s="1"/>
      <c r="P328" s="1"/>
      <c r="Q328" s="1"/>
      <c r="R328" s="1"/>
    </row>
    <row r="329" spans="15:18" x14ac:dyDescent="0.2">
      <c r="O329" s="1"/>
      <c r="P329" s="1"/>
      <c r="Q329" s="1"/>
      <c r="R329" s="1"/>
    </row>
    <row r="330" spans="15:18" x14ac:dyDescent="0.2">
      <c r="O330" s="1"/>
      <c r="P330" s="1"/>
      <c r="Q330" s="1"/>
      <c r="R330" s="1"/>
    </row>
    <row r="331" spans="15:18" x14ac:dyDescent="0.2">
      <c r="O331" s="1"/>
      <c r="P331" s="1"/>
      <c r="Q331" s="1"/>
      <c r="R331" s="1"/>
    </row>
    <row r="332" spans="15:18" x14ac:dyDescent="0.2">
      <c r="O332" s="1"/>
      <c r="P332" s="1"/>
      <c r="Q332" s="1"/>
      <c r="R332" s="1"/>
    </row>
    <row r="333" spans="15:18" x14ac:dyDescent="0.2">
      <c r="O333" s="1"/>
      <c r="P333" s="1"/>
      <c r="Q333" s="1"/>
      <c r="R333" s="1"/>
    </row>
    <row r="334" spans="15:18" x14ac:dyDescent="0.2">
      <c r="O334" s="1"/>
      <c r="P334" s="1"/>
      <c r="Q334" s="1"/>
      <c r="R334" s="1"/>
    </row>
    <row r="335" spans="15:18" x14ac:dyDescent="0.2">
      <c r="O335" s="1"/>
      <c r="P335" s="1"/>
      <c r="Q335" s="1"/>
      <c r="R335" s="1"/>
    </row>
    <row r="336" spans="15:18" x14ac:dyDescent="0.2">
      <c r="O336" s="1"/>
      <c r="P336" s="1"/>
      <c r="Q336" s="1"/>
      <c r="R336" s="1"/>
    </row>
    <row r="337" spans="15:18" x14ac:dyDescent="0.2">
      <c r="O337" s="1"/>
      <c r="P337" s="1"/>
      <c r="Q337" s="1"/>
      <c r="R337" s="1"/>
    </row>
    <row r="338" spans="15:18" x14ac:dyDescent="0.2">
      <c r="O338" s="1"/>
      <c r="P338" s="1"/>
      <c r="Q338" s="1"/>
      <c r="R338" s="1"/>
    </row>
    <row r="339" spans="15:18" x14ac:dyDescent="0.2">
      <c r="O339" s="1"/>
      <c r="P339" s="1"/>
      <c r="Q339" s="1"/>
      <c r="R339" s="1"/>
    </row>
    <row r="340" spans="15:18" x14ac:dyDescent="0.2">
      <c r="O340" s="1"/>
      <c r="P340" s="1"/>
      <c r="Q340" s="1"/>
      <c r="R340" s="1"/>
    </row>
    <row r="341" spans="15:18" x14ac:dyDescent="0.2">
      <c r="O341" s="1"/>
      <c r="P341" s="1"/>
      <c r="Q341" s="1"/>
      <c r="R341" s="1"/>
    </row>
    <row r="342" spans="15:18" x14ac:dyDescent="0.2">
      <c r="O342" s="1"/>
      <c r="P342" s="1"/>
      <c r="Q342" s="1"/>
      <c r="R342" s="1"/>
    </row>
    <row r="343" spans="15:18" x14ac:dyDescent="0.2">
      <c r="O343" s="1"/>
      <c r="P343" s="1"/>
      <c r="Q343" s="1"/>
      <c r="R343" s="1"/>
    </row>
    <row r="344" spans="15:18" x14ac:dyDescent="0.2">
      <c r="O344" s="1"/>
      <c r="P344" s="1"/>
      <c r="Q344" s="1"/>
      <c r="R344" s="1"/>
    </row>
    <row r="345" spans="15:18" x14ac:dyDescent="0.2">
      <c r="O345" s="1"/>
      <c r="P345" s="1"/>
      <c r="Q345" s="1"/>
      <c r="R345" s="1"/>
    </row>
    <row r="346" spans="15:18" x14ac:dyDescent="0.2">
      <c r="O346" s="1"/>
      <c r="P346" s="1"/>
      <c r="Q346" s="1"/>
      <c r="R346" s="1"/>
    </row>
    <row r="347" spans="15:18" x14ac:dyDescent="0.2">
      <c r="O347" s="1"/>
      <c r="P347" s="1"/>
      <c r="Q347" s="1"/>
      <c r="R347" s="1"/>
    </row>
    <row r="348" spans="15:18" x14ac:dyDescent="0.2">
      <c r="O348" s="1"/>
      <c r="P348" s="1"/>
      <c r="Q348" s="1"/>
      <c r="R348" s="1"/>
    </row>
    <row r="349" spans="15:18" x14ac:dyDescent="0.2">
      <c r="O349" s="1"/>
      <c r="P349" s="1"/>
      <c r="Q349" s="1"/>
      <c r="R349" s="1"/>
    </row>
    <row r="350" spans="15:18" x14ac:dyDescent="0.2">
      <c r="O350" s="1"/>
      <c r="P350" s="1"/>
      <c r="Q350" s="1"/>
      <c r="R350" s="1"/>
    </row>
    <row r="351" spans="15:18" x14ac:dyDescent="0.2">
      <c r="O351" s="1"/>
      <c r="P351" s="1"/>
      <c r="Q351" s="1"/>
      <c r="R351" s="1"/>
    </row>
    <row r="352" spans="15:18" x14ac:dyDescent="0.2">
      <c r="O352" s="1"/>
      <c r="P352" s="1"/>
      <c r="Q352" s="1"/>
      <c r="R352" s="1"/>
    </row>
    <row r="353" spans="15:18" x14ac:dyDescent="0.2">
      <c r="O353" s="1"/>
      <c r="P353" s="1"/>
      <c r="Q353" s="1"/>
      <c r="R353" s="1"/>
    </row>
    <row r="354" spans="15:18" x14ac:dyDescent="0.2">
      <c r="O354" s="1"/>
      <c r="P354" s="1"/>
      <c r="Q354" s="1"/>
      <c r="R354" s="1"/>
    </row>
    <row r="355" spans="15:18" x14ac:dyDescent="0.2">
      <c r="O355" s="1"/>
      <c r="P355" s="1"/>
      <c r="Q355" s="1"/>
      <c r="R355" s="1"/>
    </row>
    <row r="356" spans="15:18" x14ac:dyDescent="0.2">
      <c r="O356" s="1"/>
      <c r="P356" s="1"/>
      <c r="Q356" s="1"/>
      <c r="R356" s="1"/>
    </row>
    <row r="357" spans="15:18" x14ac:dyDescent="0.2">
      <c r="O357" s="1"/>
      <c r="P357" s="1"/>
      <c r="Q357" s="1"/>
      <c r="R357" s="1"/>
    </row>
    <row r="358" spans="15:18" x14ac:dyDescent="0.2">
      <c r="O358" s="1"/>
      <c r="P358" s="1"/>
      <c r="Q358" s="1"/>
      <c r="R358" s="1"/>
    </row>
    <row r="359" spans="15:18" x14ac:dyDescent="0.2">
      <c r="O359" s="1"/>
      <c r="P359" s="1"/>
      <c r="Q359" s="1"/>
      <c r="R359" s="1"/>
    </row>
    <row r="360" spans="15:18" x14ac:dyDescent="0.2">
      <c r="O360" s="1"/>
      <c r="P360" s="1"/>
      <c r="Q360" s="1"/>
      <c r="R360" s="1"/>
    </row>
    <row r="361" spans="15:18" x14ac:dyDescent="0.2">
      <c r="O361" s="1"/>
      <c r="P361" s="1"/>
      <c r="Q361" s="1"/>
      <c r="R361" s="1"/>
    </row>
    <row r="362" spans="15:18" x14ac:dyDescent="0.2">
      <c r="O362" s="1"/>
      <c r="P362" s="1"/>
      <c r="Q362" s="1"/>
      <c r="R362" s="1"/>
    </row>
    <row r="363" spans="15:18" x14ac:dyDescent="0.2">
      <c r="O363" s="1"/>
      <c r="P363" s="1"/>
      <c r="Q363" s="1"/>
      <c r="R363" s="1"/>
    </row>
    <row r="364" spans="15:18" x14ac:dyDescent="0.2">
      <c r="O364" s="1"/>
      <c r="P364" s="1"/>
      <c r="Q364" s="1"/>
      <c r="R364" s="1"/>
    </row>
    <row r="365" spans="15:18" x14ac:dyDescent="0.2">
      <c r="O365" s="1"/>
      <c r="P365" s="1"/>
      <c r="Q365" s="1"/>
      <c r="R365" s="1"/>
    </row>
    <row r="366" spans="15:18" x14ac:dyDescent="0.2">
      <c r="O366" s="1"/>
      <c r="P366" s="1"/>
      <c r="Q366" s="1"/>
      <c r="R366" s="1"/>
    </row>
    <row r="367" spans="15:18" x14ac:dyDescent="0.2">
      <c r="O367" s="1"/>
      <c r="P367" s="1"/>
      <c r="Q367" s="1"/>
      <c r="R367" s="1"/>
    </row>
    <row r="368" spans="15:18" x14ac:dyDescent="0.2">
      <c r="O368" s="1"/>
      <c r="P368" s="1"/>
      <c r="Q368" s="1"/>
      <c r="R368" s="1"/>
    </row>
    <row r="369" spans="15:18" x14ac:dyDescent="0.2">
      <c r="O369" s="1"/>
      <c r="P369" s="1"/>
      <c r="Q369" s="1"/>
      <c r="R369" s="1"/>
    </row>
    <row r="370" spans="15:18" x14ac:dyDescent="0.2">
      <c r="O370" s="1"/>
      <c r="P370" s="1"/>
      <c r="Q370" s="1"/>
      <c r="R370" s="1"/>
    </row>
    <row r="371" spans="15:18" x14ac:dyDescent="0.2">
      <c r="O371" s="1"/>
      <c r="P371" s="1"/>
      <c r="Q371" s="1"/>
      <c r="R371" s="1"/>
    </row>
    <row r="372" spans="15:18" x14ac:dyDescent="0.2">
      <c r="O372" s="1"/>
      <c r="P372" s="1"/>
      <c r="Q372" s="1"/>
      <c r="R372" s="1"/>
    </row>
    <row r="373" spans="15:18" x14ac:dyDescent="0.2">
      <c r="O373" s="1"/>
      <c r="P373" s="1"/>
      <c r="Q373" s="1"/>
      <c r="R373" s="1"/>
    </row>
    <row r="374" spans="15:18" x14ac:dyDescent="0.2">
      <c r="O374" s="1"/>
      <c r="P374" s="1"/>
      <c r="Q374" s="1"/>
      <c r="R374" s="1"/>
    </row>
    <row r="375" spans="15:18" x14ac:dyDescent="0.2">
      <c r="O375" s="1"/>
      <c r="P375" s="1"/>
      <c r="Q375" s="1"/>
      <c r="R375" s="1"/>
    </row>
    <row r="376" spans="15:18" x14ac:dyDescent="0.2">
      <c r="O376" s="1"/>
      <c r="P376" s="1"/>
      <c r="Q376" s="1"/>
      <c r="R376" s="1"/>
    </row>
    <row r="377" spans="15:18" x14ac:dyDescent="0.2">
      <c r="O377" s="1"/>
      <c r="P377" s="1"/>
      <c r="Q377" s="1"/>
      <c r="R377" s="1"/>
    </row>
    <row r="378" spans="15:18" x14ac:dyDescent="0.2">
      <c r="O378" s="1"/>
      <c r="P378" s="1"/>
      <c r="Q378" s="1"/>
      <c r="R378" s="1"/>
    </row>
    <row r="379" spans="15:18" x14ac:dyDescent="0.2">
      <c r="O379" s="1"/>
      <c r="P379" s="1"/>
      <c r="Q379" s="1"/>
      <c r="R379" s="1"/>
    </row>
    <row r="380" spans="15:18" x14ac:dyDescent="0.2">
      <c r="O380" s="1"/>
      <c r="P380" s="1"/>
      <c r="Q380" s="1"/>
      <c r="R380" s="1"/>
    </row>
    <row r="381" spans="15:18" x14ac:dyDescent="0.2">
      <c r="O381" s="1"/>
      <c r="P381" s="1"/>
      <c r="Q381" s="1"/>
      <c r="R381" s="1"/>
    </row>
    <row r="382" spans="15:18" x14ac:dyDescent="0.2">
      <c r="O382" s="1"/>
      <c r="P382" s="1"/>
      <c r="Q382" s="1"/>
      <c r="R382" s="1"/>
    </row>
    <row r="383" spans="15:18" x14ac:dyDescent="0.2">
      <c r="O383" s="1"/>
      <c r="P383" s="1"/>
      <c r="Q383" s="1"/>
      <c r="R383" s="1"/>
    </row>
    <row r="384" spans="15:18" x14ac:dyDescent="0.2">
      <c r="O384" s="1"/>
      <c r="P384" s="1"/>
      <c r="Q384" s="1"/>
      <c r="R384" s="1"/>
    </row>
    <row r="385" spans="15:18" x14ac:dyDescent="0.2">
      <c r="O385" s="1"/>
      <c r="P385" s="1"/>
      <c r="Q385" s="1"/>
      <c r="R385" s="1"/>
    </row>
    <row r="386" spans="15:18" x14ac:dyDescent="0.2">
      <c r="O386" s="1"/>
      <c r="P386" s="1"/>
      <c r="Q386" s="1"/>
      <c r="R386" s="1"/>
    </row>
    <row r="387" spans="15:18" x14ac:dyDescent="0.2">
      <c r="O387" s="1"/>
      <c r="P387" s="1"/>
      <c r="Q387" s="1"/>
      <c r="R387" s="1"/>
    </row>
    <row r="388" spans="15:18" x14ac:dyDescent="0.2">
      <c r="O388" s="1"/>
      <c r="P388" s="1"/>
      <c r="Q388" s="1"/>
      <c r="R388" s="1"/>
    </row>
    <row r="389" spans="15:18" x14ac:dyDescent="0.2">
      <c r="O389" s="1"/>
      <c r="P389" s="1"/>
      <c r="Q389" s="1"/>
      <c r="R389" s="1"/>
    </row>
    <row r="390" spans="15:18" x14ac:dyDescent="0.2">
      <c r="O390" s="1"/>
      <c r="P390" s="1"/>
      <c r="Q390" s="1"/>
      <c r="R390" s="1"/>
    </row>
    <row r="391" spans="15:18" x14ac:dyDescent="0.2">
      <c r="O391" s="1"/>
      <c r="P391" s="1"/>
      <c r="Q391" s="1"/>
      <c r="R391" s="1"/>
    </row>
    <row r="392" spans="15:18" x14ac:dyDescent="0.2">
      <c r="O392" s="1"/>
      <c r="P392" s="1"/>
      <c r="Q392" s="1"/>
      <c r="R392" s="1"/>
    </row>
    <row r="393" spans="15:18" x14ac:dyDescent="0.2">
      <c r="O393" s="1"/>
      <c r="P393" s="1"/>
      <c r="Q393" s="1"/>
      <c r="R393" s="1"/>
    </row>
    <row r="394" spans="15:18" x14ac:dyDescent="0.2">
      <c r="O394" s="1"/>
      <c r="P394" s="1"/>
      <c r="Q394" s="1"/>
      <c r="R394" s="1"/>
    </row>
    <row r="395" spans="15:18" x14ac:dyDescent="0.2">
      <c r="O395" s="1"/>
      <c r="P395" s="1"/>
      <c r="Q395" s="1"/>
      <c r="R395" s="1"/>
    </row>
    <row r="396" spans="15:18" x14ac:dyDescent="0.2">
      <c r="O396" s="1"/>
      <c r="P396" s="1"/>
      <c r="Q396" s="1"/>
      <c r="R396" s="1"/>
    </row>
    <row r="397" spans="15:18" x14ac:dyDescent="0.2">
      <c r="O397" s="1"/>
      <c r="P397" s="1"/>
      <c r="Q397" s="1"/>
      <c r="R397" s="1"/>
    </row>
    <row r="398" spans="15:18" x14ac:dyDescent="0.2">
      <c r="O398" s="1"/>
      <c r="P398" s="1"/>
      <c r="Q398" s="1"/>
      <c r="R398" s="1"/>
    </row>
    <row r="399" spans="15:18" x14ac:dyDescent="0.2">
      <c r="O399" s="1"/>
      <c r="P399" s="1"/>
      <c r="Q399" s="1"/>
      <c r="R399" s="1"/>
    </row>
    <row r="400" spans="15:18" x14ac:dyDescent="0.2">
      <c r="O400" s="1"/>
      <c r="P400" s="1"/>
      <c r="Q400" s="1"/>
      <c r="R400" s="1"/>
    </row>
    <row r="401" spans="15:18" x14ac:dyDescent="0.2">
      <c r="O401" s="1"/>
      <c r="P401" s="1"/>
      <c r="Q401" s="1"/>
      <c r="R401" s="1"/>
    </row>
    <row r="402" spans="15:18" x14ac:dyDescent="0.2">
      <c r="O402" s="1"/>
      <c r="P402" s="1"/>
      <c r="Q402" s="1"/>
      <c r="R402" s="1"/>
    </row>
    <row r="403" spans="15:18" x14ac:dyDescent="0.2">
      <c r="O403" s="1"/>
      <c r="P403" s="1"/>
      <c r="Q403" s="1"/>
      <c r="R403" s="1"/>
    </row>
    <row r="404" spans="15:18" x14ac:dyDescent="0.2">
      <c r="O404" s="1"/>
      <c r="P404" s="1"/>
      <c r="Q404" s="1"/>
      <c r="R404" s="1"/>
    </row>
    <row r="405" spans="15:18" x14ac:dyDescent="0.2">
      <c r="O405" s="1"/>
      <c r="P405" s="1"/>
      <c r="Q405" s="1"/>
      <c r="R405" s="1"/>
    </row>
    <row r="406" spans="15:18" x14ac:dyDescent="0.2">
      <c r="O406" s="1"/>
      <c r="P406" s="1"/>
      <c r="Q406" s="1"/>
      <c r="R406" s="1"/>
    </row>
    <row r="407" spans="15:18" x14ac:dyDescent="0.2">
      <c r="O407" s="1"/>
      <c r="P407" s="1"/>
      <c r="Q407" s="1"/>
      <c r="R407" s="1"/>
    </row>
    <row r="408" spans="15:18" x14ac:dyDescent="0.2">
      <c r="O408" s="1"/>
      <c r="P408" s="1"/>
      <c r="Q408" s="1"/>
      <c r="R408" s="1"/>
    </row>
    <row r="409" spans="15:18" x14ac:dyDescent="0.2">
      <c r="O409" s="1"/>
      <c r="P409" s="1"/>
      <c r="Q409" s="1"/>
      <c r="R409" s="1"/>
    </row>
    <row r="410" spans="15:18" x14ac:dyDescent="0.2">
      <c r="O410" s="1"/>
      <c r="P410" s="1"/>
      <c r="Q410" s="1"/>
      <c r="R410" s="1"/>
    </row>
    <row r="411" spans="15:18" x14ac:dyDescent="0.2">
      <c r="O411" s="1"/>
      <c r="P411" s="1"/>
      <c r="Q411" s="1"/>
      <c r="R411" s="1"/>
    </row>
    <row r="412" spans="15:18" x14ac:dyDescent="0.2">
      <c r="O412" s="1"/>
      <c r="P412" s="1"/>
      <c r="Q412" s="1"/>
      <c r="R412" s="1"/>
    </row>
    <row r="413" spans="15:18" x14ac:dyDescent="0.2">
      <c r="O413" s="1"/>
      <c r="P413" s="1"/>
      <c r="Q413" s="1"/>
      <c r="R413" s="1"/>
    </row>
    <row r="414" spans="15:18" x14ac:dyDescent="0.2">
      <c r="O414" s="1"/>
      <c r="P414" s="1"/>
      <c r="Q414" s="1"/>
      <c r="R414" s="1"/>
    </row>
    <row r="415" spans="15:18" x14ac:dyDescent="0.2">
      <c r="O415" s="1"/>
      <c r="P415" s="1"/>
      <c r="Q415" s="1"/>
      <c r="R415" s="1"/>
    </row>
    <row r="416" spans="15:18" x14ac:dyDescent="0.2">
      <c r="O416" s="1"/>
      <c r="P416" s="1"/>
      <c r="Q416" s="1"/>
      <c r="R416" s="1"/>
    </row>
    <row r="417" spans="15:18" x14ac:dyDescent="0.2">
      <c r="O417" s="1"/>
      <c r="P417" s="1"/>
      <c r="Q417" s="1"/>
      <c r="R417" s="1"/>
    </row>
    <row r="418" spans="15:18" x14ac:dyDescent="0.2">
      <c r="O418" s="1"/>
      <c r="P418" s="1"/>
      <c r="Q418" s="1"/>
      <c r="R418" s="1"/>
    </row>
    <row r="419" spans="15:18" x14ac:dyDescent="0.2">
      <c r="O419" s="1"/>
      <c r="P419" s="1"/>
      <c r="Q419" s="1"/>
      <c r="R419" s="1"/>
    </row>
    <row r="420" spans="15:18" x14ac:dyDescent="0.2">
      <c r="O420" s="1"/>
      <c r="P420" s="1"/>
      <c r="Q420" s="1"/>
      <c r="R420" s="1"/>
    </row>
    <row r="421" spans="15:18" x14ac:dyDescent="0.2">
      <c r="O421" s="1"/>
      <c r="P421" s="1"/>
      <c r="Q421" s="1"/>
      <c r="R421" s="1"/>
    </row>
    <row r="422" spans="15:18" x14ac:dyDescent="0.2">
      <c r="O422" s="1"/>
      <c r="P422" s="1"/>
      <c r="Q422" s="1"/>
      <c r="R422" s="1"/>
    </row>
    <row r="423" spans="15:18" x14ac:dyDescent="0.2">
      <c r="O423" s="1"/>
      <c r="P423" s="1"/>
      <c r="Q423" s="1"/>
      <c r="R423" s="1"/>
    </row>
    <row r="424" spans="15:18" x14ac:dyDescent="0.2">
      <c r="O424" s="1"/>
      <c r="P424" s="1"/>
      <c r="Q424" s="1"/>
      <c r="R424" s="1"/>
    </row>
    <row r="425" spans="15:18" x14ac:dyDescent="0.2">
      <c r="O425" s="1"/>
      <c r="P425" s="1"/>
      <c r="Q425" s="1"/>
      <c r="R425" s="1"/>
    </row>
    <row r="426" spans="15:18" x14ac:dyDescent="0.2">
      <c r="O426" s="1"/>
      <c r="P426" s="1"/>
      <c r="Q426" s="1"/>
      <c r="R426" s="1"/>
    </row>
    <row r="427" spans="15:18" x14ac:dyDescent="0.2">
      <c r="O427" s="1"/>
      <c r="P427" s="1"/>
      <c r="Q427" s="1"/>
      <c r="R427" s="1"/>
    </row>
    <row r="428" spans="15:18" x14ac:dyDescent="0.2">
      <c r="O428" s="1"/>
      <c r="P428" s="1"/>
      <c r="Q428" s="1"/>
      <c r="R428" s="1"/>
    </row>
    <row r="429" spans="15:18" x14ac:dyDescent="0.2">
      <c r="O429" s="1"/>
      <c r="P429" s="1"/>
      <c r="Q429" s="1"/>
      <c r="R429" s="1"/>
    </row>
    <row r="430" spans="15:18" x14ac:dyDescent="0.2">
      <c r="O430" s="1"/>
      <c r="P430" s="1"/>
      <c r="Q430" s="1"/>
      <c r="R430" s="1"/>
    </row>
    <row r="431" spans="15:18" x14ac:dyDescent="0.2">
      <c r="O431" s="1"/>
      <c r="P431" s="1"/>
      <c r="Q431" s="1"/>
      <c r="R431" s="1"/>
    </row>
    <row r="432" spans="15:18" x14ac:dyDescent="0.2">
      <c r="O432" s="1"/>
      <c r="P432" s="1"/>
      <c r="Q432" s="1"/>
      <c r="R432" s="1"/>
    </row>
    <row r="433" spans="15:18" x14ac:dyDescent="0.2">
      <c r="O433" s="1"/>
      <c r="P433" s="1"/>
      <c r="Q433" s="1"/>
      <c r="R433" s="1"/>
    </row>
    <row r="434" spans="15:18" x14ac:dyDescent="0.2">
      <c r="O434" s="1"/>
      <c r="P434" s="1"/>
      <c r="Q434" s="1"/>
      <c r="R434" s="1"/>
    </row>
    <row r="435" spans="15:18" x14ac:dyDescent="0.2">
      <c r="O435" s="1"/>
      <c r="P435" s="1"/>
      <c r="Q435" s="1"/>
      <c r="R435" s="1"/>
    </row>
    <row r="436" spans="15:18" x14ac:dyDescent="0.2">
      <c r="O436" s="1"/>
      <c r="P436" s="1"/>
      <c r="Q436" s="1"/>
      <c r="R436" s="1"/>
    </row>
    <row r="437" spans="15:18" x14ac:dyDescent="0.2">
      <c r="O437" s="1"/>
      <c r="P437" s="1"/>
      <c r="Q437" s="1"/>
      <c r="R437" s="1"/>
    </row>
    <row r="438" spans="15:18" x14ac:dyDescent="0.2">
      <c r="O438" s="1"/>
      <c r="P438" s="1"/>
      <c r="Q438" s="1"/>
      <c r="R438" s="1"/>
    </row>
    <row r="439" spans="15:18" x14ac:dyDescent="0.2">
      <c r="O439" s="1"/>
      <c r="P439" s="1"/>
      <c r="Q439" s="1"/>
      <c r="R439" s="1"/>
    </row>
    <row r="440" spans="15:18" x14ac:dyDescent="0.2">
      <c r="O440" s="1"/>
      <c r="P440" s="1"/>
      <c r="Q440" s="1"/>
      <c r="R440" s="1"/>
    </row>
    <row r="441" spans="15:18" x14ac:dyDescent="0.2">
      <c r="O441" s="1"/>
      <c r="P441" s="1"/>
      <c r="Q441" s="1"/>
      <c r="R441" s="1"/>
    </row>
    <row r="442" spans="15:18" x14ac:dyDescent="0.2">
      <c r="O442" s="1"/>
      <c r="P442" s="1"/>
      <c r="Q442" s="1"/>
      <c r="R442" s="1"/>
    </row>
    <row r="443" spans="15:18" x14ac:dyDescent="0.2">
      <c r="O443" s="1"/>
      <c r="P443" s="1"/>
      <c r="Q443" s="1"/>
      <c r="R443" s="1"/>
    </row>
    <row r="444" spans="15:18" x14ac:dyDescent="0.2">
      <c r="O444" s="1"/>
      <c r="P444" s="1"/>
      <c r="Q444" s="1"/>
      <c r="R444" s="1"/>
    </row>
    <row r="445" spans="15:18" x14ac:dyDescent="0.2">
      <c r="O445" s="1"/>
      <c r="P445" s="1"/>
      <c r="Q445" s="1"/>
      <c r="R445" s="1"/>
    </row>
    <row r="446" spans="15:18" x14ac:dyDescent="0.2">
      <c r="O446" s="1"/>
      <c r="P446" s="1"/>
      <c r="Q446" s="1"/>
      <c r="R446" s="1"/>
    </row>
    <row r="447" spans="15:18" x14ac:dyDescent="0.2">
      <c r="O447" s="1"/>
      <c r="P447" s="1"/>
      <c r="Q447" s="1"/>
      <c r="R447" s="1"/>
    </row>
    <row r="448" spans="15:18" x14ac:dyDescent="0.2">
      <c r="O448" s="1"/>
      <c r="P448" s="1"/>
      <c r="Q448" s="1"/>
      <c r="R448" s="1"/>
    </row>
    <row r="449" spans="15:18" x14ac:dyDescent="0.2">
      <c r="O449" s="1"/>
      <c r="P449" s="1"/>
      <c r="Q449" s="1"/>
      <c r="R449" s="1"/>
    </row>
    <row r="450" spans="15:18" x14ac:dyDescent="0.2">
      <c r="O450" s="1"/>
      <c r="P450" s="1"/>
      <c r="Q450" s="1"/>
      <c r="R450" s="1"/>
    </row>
    <row r="451" spans="15:18" x14ac:dyDescent="0.2">
      <c r="O451" s="1"/>
      <c r="P451" s="1"/>
      <c r="Q451" s="1"/>
      <c r="R451" s="1"/>
    </row>
    <row r="452" spans="15:18" x14ac:dyDescent="0.2">
      <c r="O452" s="1"/>
      <c r="P452" s="1"/>
      <c r="Q452" s="1"/>
      <c r="R452" s="1"/>
    </row>
    <row r="453" spans="15:18" x14ac:dyDescent="0.2">
      <c r="O453" s="1"/>
      <c r="P453" s="1"/>
      <c r="Q453" s="1"/>
      <c r="R453" s="1"/>
    </row>
    <row r="454" spans="15:18" x14ac:dyDescent="0.2">
      <c r="O454" s="1"/>
      <c r="P454" s="1"/>
      <c r="Q454" s="1"/>
      <c r="R454" s="1"/>
    </row>
    <row r="455" spans="15:18" x14ac:dyDescent="0.2">
      <c r="O455" s="1"/>
      <c r="P455" s="1"/>
      <c r="Q455" s="1"/>
      <c r="R455" s="1"/>
    </row>
    <row r="456" spans="15:18" x14ac:dyDescent="0.2">
      <c r="O456" s="1"/>
      <c r="P456" s="1"/>
      <c r="Q456" s="1"/>
      <c r="R456" s="1"/>
    </row>
    <row r="457" spans="15:18" x14ac:dyDescent="0.2">
      <c r="O457" s="1"/>
      <c r="P457" s="1"/>
      <c r="Q457" s="1"/>
      <c r="R457" s="1"/>
    </row>
    <row r="458" spans="15:18" x14ac:dyDescent="0.2">
      <c r="O458" s="1"/>
      <c r="P458" s="1"/>
      <c r="Q458" s="1"/>
      <c r="R458" s="1"/>
    </row>
    <row r="459" spans="15:18" x14ac:dyDescent="0.2">
      <c r="O459" s="1"/>
      <c r="P459" s="1"/>
      <c r="Q459" s="1"/>
      <c r="R459" s="1"/>
    </row>
    <row r="460" spans="15:18" x14ac:dyDescent="0.2">
      <c r="O460" s="1"/>
      <c r="P460" s="1"/>
      <c r="Q460" s="1"/>
      <c r="R460" s="1"/>
    </row>
    <row r="461" spans="15:18" x14ac:dyDescent="0.2">
      <c r="O461" s="1"/>
      <c r="P461" s="1"/>
      <c r="Q461" s="1"/>
      <c r="R461" s="1"/>
    </row>
    <row r="462" spans="15:18" x14ac:dyDescent="0.2">
      <c r="O462" s="1"/>
      <c r="P462" s="1"/>
      <c r="Q462" s="1"/>
      <c r="R462" s="1"/>
    </row>
    <row r="463" spans="15:18" x14ac:dyDescent="0.2">
      <c r="O463" s="1"/>
      <c r="P463" s="1"/>
      <c r="Q463" s="1"/>
      <c r="R463" s="1"/>
    </row>
    <row r="464" spans="15:18" x14ac:dyDescent="0.2">
      <c r="O464" s="1"/>
      <c r="P464" s="1"/>
      <c r="Q464" s="1"/>
      <c r="R464" s="1"/>
    </row>
    <row r="465" spans="15:18" x14ac:dyDescent="0.2">
      <c r="O465" s="1"/>
      <c r="P465" s="1"/>
      <c r="Q465" s="1"/>
      <c r="R465" s="1"/>
    </row>
    <row r="466" spans="15:18" x14ac:dyDescent="0.2">
      <c r="O466" s="1"/>
      <c r="P466" s="1"/>
      <c r="Q466" s="1"/>
      <c r="R466" s="1"/>
    </row>
    <row r="467" spans="15:18" x14ac:dyDescent="0.2">
      <c r="O467" s="1"/>
      <c r="P467" s="1"/>
      <c r="Q467" s="1"/>
      <c r="R467" s="1"/>
    </row>
    <row r="468" spans="15:18" x14ac:dyDescent="0.2">
      <c r="O468" s="1"/>
      <c r="P468" s="1"/>
      <c r="Q468" s="1"/>
      <c r="R468" s="1"/>
    </row>
    <row r="469" spans="15:18" x14ac:dyDescent="0.2">
      <c r="O469" s="1"/>
      <c r="P469" s="1"/>
      <c r="Q469" s="1"/>
      <c r="R469" s="1"/>
    </row>
    <row r="470" spans="15:18" x14ac:dyDescent="0.2">
      <c r="O470" s="1"/>
      <c r="P470" s="1"/>
      <c r="Q470" s="1"/>
      <c r="R470" s="1"/>
    </row>
    <row r="471" spans="15:18" x14ac:dyDescent="0.2">
      <c r="O471" s="1"/>
      <c r="P471" s="1"/>
      <c r="Q471" s="1"/>
      <c r="R471" s="1"/>
    </row>
    <row r="472" spans="15:18" x14ac:dyDescent="0.2">
      <c r="O472" s="1"/>
      <c r="P472" s="1"/>
      <c r="Q472" s="1"/>
      <c r="R472" s="1"/>
    </row>
    <row r="473" spans="15:18" x14ac:dyDescent="0.2">
      <c r="O473" s="1"/>
      <c r="P473" s="1"/>
      <c r="Q473" s="1"/>
      <c r="R473" s="1"/>
    </row>
    <row r="474" spans="15:18" x14ac:dyDescent="0.2">
      <c r="O474" s="1"/>
      <c r="P474" s="1"/>
      <c r="Q474" s="1"/>
      <c r="R474" s="1"/>
    </row>
    <row r="475" spans="15:18" x14ac:dyDescent="0.2">
      <c r="O475" s="1"/>
      <c r="P475" s="1"/>
      <c r="Q475" s="1"/>
      <c r="R475" s="1"/>
    </row>
    <row r="476" spans="15:18" x14ac:dyDescent="0.2">
      <c r="O476" s="1"/>
      <c r="P476" s="1"/>
      <c r="Q476" s="1"/>
      <c r="R476" s="1"/>
    </row>
    <row r="477" spans="15:18" x14ac:dyDescent="0.2">
      <c r="O477" s="1"/>
      <c r="P477" s="1"/>
      <c r="Q477" s="1"/>
      <c r="R477" s="1"/>
    </row>
    <row r="478" spans="15:18" x14ac:dyDescent="0.2">
      <c r="O478" s="1"/>
      <c r="P478" s="1"/>
      <c r="Q478" s="1"/>
      <c r="R478" s="1"/>
    </row>
    <row r="479" spans="15:18" x14ac:dyDescent="0.2">
      <c r="O479" s="1"/>
      <c r="P479" s="1"/>
      <c r="Q479" s="1"/>
      <c r="R479" s="1"/>
    </row>
    <row r="480" spans="15:18" x14ac:dyDescent="0.2">
      <c r="O480" s="1"/>
      <c r="P480" s="1"/>
      <c r="Q480" s="1"/>
      <c r="R480" s="1"/>
    </row>
    <row r="481" spans="15:18" x14ac:dyDescent="0.2">
      <c r="O481" s="1"/>
      <c r="P481" s="1"/>
      <c r="Q481" s="1"/>
      <c r="R481" s="1"/>
    </row>
    <row r="482" spans="15:18" x14ac:dyDescent="0.2">
      <c r="O482" s="1"/>
      <c r="P482" s="1"/>
      <c r="Q482" s="1"/>
      <c r="R482" s="1"/>
    </row>
    <row r="483" spans="15:18" x14ac:dyDescent="0.2">
      <c r="O483" s="1"/>
      <c r="P483" s="1"/>
      <c r="Q483" s="1"/>
      <c r="R483" s="1"/>
    </row>
    <row r="484" spans="15:18" x14ac:dyDescent="0.2">
      <c r="O484" s="1"/>
      <c r="P484" s="1"/>
      <c r="Q484" s="1"/>
      <c r="R484" s="1"/>
    </row>
    <row r="485" spans="15:18" x14ac:dyDescent="0.2">
      <c r="O485" s="1"/>
      <c r="P485" s="1"/>
      <c r="Q485" s="1"/>
      <c r="R485" s="1"/>
    </row>
    <row r="486" spans="15:18" x14ac:dyDescent="0.2">
      <c r="O486" s="1"/>
      <c r="P486" s="1"/>
      <c r="Q486" s="1"/>
      <c r="R486" s="1"/>
    </row>
    <row r="487" spans="15:18" x14ac:dyDescent="0.2">
      <c r="O487" s="1"/>
      <c r="P487" s="1"/>
      <c r="Q487" s="1"/>
      <c r="R487" s="1"/>
    </row>
    <row r="488" spans="15:18" x14ac:dyDescent="0.2">
      <c r="O488" s="1"/>
      <c r="P488" s="1"/>
      <c r="Q488" s="1"/>
      <c r="R488" s="1"/>
    </row>
    <row r="489" spans="15:18" x14ac:dyDescent="0.2">
      <c r="O489" s="1"/>
      <c r="P489" s="1"/>
      <c r="Q489" s="1"/>
      <c r="R489" s="1"/>
    </row>
    <row r="490" spans="15:18" x14ac:dyDescent="0.2">
      <c r="O490" s="1"/>
      <c r="P490" s="1"/>
      <c r="Q490" s="1"/>
      <c r="R490" s="1"/>
    </row>
    <row r="491" spans="15:18" x14ac:dyDescent="0.2">
      <c r="O491" s="1"/>
      <c r="P491" s="1"/>
      <c r="Q491" s="1"/>
      <c r="R491" s="1"/>
    </row>
    <row r="492" spans="15:18" x14ac:dyDescent="0.2">
      <c r="O492" s="1"/>
      <c r="P492" s="1"/>
      <c r="Q492" s="1"/>
      <c r="R492" s="1"/>
    </row>
    <row r="493" spans="15:18" x14ac:dyDescent="0.2">
      <c r="O493" s="1"/>
      <c r="P493" s="1"/>
      <c r="Q493" s="1"/>
      <c r="R493" s="1"/>
    </row>
    <row r="494" spans="15:18" x14ac:dyDescent="0.2">
      <c r="O494" s="1"/>
      <c r="P494" s="1"/>
      <c r="Q494" s="1"/>
      <c r="R494" s="1"/>
    </row>
    <row r="495" spans="15:18" x14ac:dyDescent="0.2">
      <c r="O495" s="1"/>
      <c r="P495" s="1"/>
      <c r="Q495" s="1"/>
      <c r="R495" s="1"/>
    </row>
    <row r="496" spans="15:18" x14ac:dyDescent="0.2">
      <c r="O496" s="1"/>
      <c r="P496" s="1"/>
      <c r="Q496" s="1"/>
      <c r="R496" s="1"/>
    </row>
    <row r="497" spans="15:18" x14ac:dyDescent="0.2">
      <c r="O497" s="1"/>
      <c r="P497" s="1"/>
      <c r="Q497" s="1"/>
      <c r="R497" s="1"/>
    </row>
    <row r="498" spans="15:18" x14ac:dyDescent="0.2">
      <c r="O498" s="1"/>
      <c r="P498" s="1"/>
      <c r="Q498" s="1"/>
      <c r="R498" s="1"/>
    </row>
    <row r="499" spans="15:18" x14ac:dyDescent="0.2">
      <c r="O499" s="1"/>
      <c r="P499" s="1"/>
      <c r="Q499" s="1"/>
      <c r="R499" s="1"/>
    </row>
    <row r="500" spans="15:18" x14ac:dyDescent="0.2">
      <c r="O500" s="1"/>
      <c r="P500" s="1"/>
      <c r="Q500" s="1"/>
      <c r="R500" s="1"/>
    </row>
    <row r="501" spans="15:18" x14ac:dyDescent="0.2">
      <c r="O501" s="1"/>
      <c r="P501" s="1"/>
      <c r="Q501" s="1"/>
      <c r="R501" s="1"/>
    </row>
    <row r="502" spans="15:18" x14ac:dyDescent="0.2">
      <c r="O502" s="1"/>
      <c r="P502" s="1"/>
      <c r="Q502" s="1"/>
      <c r="R502" s="1"/>
    </row>
    <row r="503" spans="15:18" x14ac:dyDescent="0.2">
      <c r="O503" s="1"/>
      <c r="P503" s="1"/>
      <c r="Q503" s="1"/>
      <c r="R503" s="1"/>
    </row>
    <row r="504" spans="15:18" x14ac:dyDescent="0.2">
      <c r="O504" s="1"/>
      <c r="P504" s="1"/>
      <c r="Q504" s="1"/>
      <c r="R504" s="1"/>
    </row>
    <row r="505" spans="15:18" x14ac:dyDescent="0.2">
      <c r="O505" s="1"/>
      <c r="P505" s="1"/>
      <c r="Q505" s="1"/>
      <c r="R505" s="1"/>
    </row>
    <row r="506" spans="15:18" x14ac:dyDescent="0.2">
      <c r="O506" s="1"/>
      <c r="P506" s="1"/>
      <c r="Q506" s="1"/>
      <c r="R506" s="1"/>
    </row>
    <row r="507" spans="15:18" x14ac:dyDescent="0.2">
      <c r="O507" s="1"/>
      <c r="P507" s="1"/>
      <c r="Q507" s="1"/>
      <c r="R507" s="1"/>
    </row>
    <row r="508" spans="15:18" x14ac:dyDescent="0.2">
      <c r="O508" s="1"/>
      <c r="P508" s="1"/>
      <c r="Q508" s="1"/>
      <c r="R508" s="1"/>
    </row>
    <row r="509" spans="15:18" x14ac:dyDescent="0.2">
      <c r="O509" s="1"/>
      <c r="P509" s="1"/>
      <c r="Q509" s="1"/>
      <c r="R509" s="1"/>
    </row>
    <row r="510" spans="15:18" x14ac:dyDescent="0.2">
      <c r="O510" s="1"/>
      <c r="P510" s="1"/>
      <c r="Q510" s="1"/>
      <c r="R510" s="1"/>
    </row>
    <row r="511" spans="15:18" x14ac:dyDescent="0.2">
      <c r="O511" s="1"/>
      <c r="P511" s="1"/>
      <c r="Q511" s="1"/>
      <c r="R511" s="1"/>
    </row>
    <row r="512" spans="15:18" x14ac:dyDescent="0.2">
      <c r="O512" s="1"/>
      <c r="P512" s="1"/>
      <c r="Q512" s="1"/>
      <c r="R512" s="1"/>
    </row>
    <row r="513" spans="15:18" x14ac:dyDescent="0.2">
      <c r="O513" s="1"/>
      <c r="P513" s="1"/>
      <c r="Q513" s="1"/>
      <c r="R513" s="1"/>
    </row>
    <row r="514" spans="15:18" x14ac:dyDescent="0.2">
      <c r="O514" s="1"/>
      <c r="P514" s="1"/>
      <c r="Q514" s="1"/>
      <c r="R514" s="1"/>
    </row>
    <row r="515" spans="15:18" x14ac:dyDescent="0.2">
      <c r="O515" s="1"/>
      <c r="P515" s="1"/>
      <c r="Q515" s="1"/>
      <c r="R515" s="1"/>
    </row>
    <row r="516" spans="15:18" x14ac:dyDescent="0.2">
      <c r="O516" s="1"/>
      <c r="P516" s="1"/>
      <c r="Q516" s="1"/>
      <c r="R516" s="1"/>
    </row>
    <row r="517" spans="15:18" x14ac:dyDescent="0.2">
      <c r="O517" s="1"/>
      <c r="P517" s="1"/>
      <c r="Q517" s="1"/>
      <c r="R517" s="1"/>
    </row>
    <row r="518" spans="15:18" x14ac:dyDescent="0.2">
      <c r="O518" s="1"/>
      <c r="P518" s="1"/>
      <c r="Q518" s="1"/>
      <c r="R518" s="1"/>
    </row>
    <row r="519" spans="15:18" x14ac:dyDescent="0.2">
      <c r="O519" s="1"/>
      <c r="P519" s="1"/>
      <c r="Q519" s="1"/>
      <c r="R519" s="1"/>
    </row>
    <row r="520" spans="15:18" x14ac:dyDescent="0.2">
      <c r="O520" s="1"/>
      <c r="P520" s="1"/>
      <c r="Q520" s="1"/>
      <c r="R520" s="1"/>
    </row>
    <row r="521" spans="15:18" x14ac:dyDescent="0.2">
      <c r="O521" s="1"/>
      <c r="P521" s="1"/>
      <c r="Q521" s="1"/>
      <c r="R521" s="1"/>
    </row>
    <row r="522" spans="15:18" x14ac:dyDescent="0.2">
      <c r="O522" s="1"/>
      <c r="P522" s="1"/>
      <c r="Q522" s="1"/>
      <c r="R522" s="1"/>
    </row>
    <row r="523" spans="15:18" x14ac:dyDescent="0.2">
      <c r="O523" s="1"/>
      <c r="P523" s="1"/>
      <c r="Q523" s="1"/>
      <c r="R523" s="1"/>
    </row>
    <row r="524" spans="15:18" x14ac:dyDescent="0.2">
      <c r="O524" s="1"/>
      <c r="P524" s="1"/>
      <c r="Q524" s="1"/>
      <c r="R524" s="1"/>
    </row>
    <row r="525" spans="15:18" x14ac:dyDescent="0.2">
      <c r="O525" s="1"/>
      <c r="P525" s="1"/>
      <c r="Q525" s="1"/>
      <c r="R525" s="1"/>
    </row>
    <row r="526" spans="15:18" x14ac:dyDescent="0.2">
      <c r="O526" s="1"/>
      <c r="P526" s="1"/>
      <c r="Q526" s="1"/>
      <c r="R526" s="1"/>
    </row>
    <row r="527" spans="15:18" x14ac:dyDescent="0.2">
      <c r="O527" s="1"/>
      <c r="P527" s="1"/>
      <c r="Q527" s="1"/>
      <c r="R527" s="1"/>
    </row>
    <row r="528" spans="15:18" x14ac:dyDescent="0.2">
      <c r="O528" s="1"/>
      <c r="P528" s="1"/>
      <c r="Q528" s="1"/>
      <c r="R528" s="1"/>
    </row>
    <row r="529" spans="15:18" x14ac:dyDescent="0.2">
      <c r="O529" s="1"/>
      <c r="P529" s="1"/>
      <c r="Q529" s="1"/>
      <c r="R529" s="1"/>
    </row>
    <row r="530" spans="15:18" x14ac:dyDescent="0.2">
      <c r="O530" s="1"/>
      <c r="P530" s="1"/>
      <c r="Q530" s="1"/>
      <c r="R530" s="1"/>
    </row>
    <row r="531" spans="15:18" x14ac:dyDescent="0.2">
      <c r="O531" s="1"/>
      <c r="P531" s="1"/>
      <c r="Q531" s="1"/>
      <c r="R531" s="1"/>
    </row>
    <row r="532" spans="15:18" x14ac:dyDescent="0.2">
      <c r="O532" s="1"/>
      <c r="P532" s="1"/>
      <c r="Q532" s="1"/>
      <c r="R532" s="1"/>
    </row>
    <row r="533" spans="15:18" x14ac:dyDescent="0.2">
      <c r="O533" s="1"/>
      <c r="P533" s="1"/>
      <c r="Q533" s="1"/>
      <c r="R533" s="1"/>
    </row>
    <row r="534" spans="15:18" x14ac:dyDescent="0.2">
      <c r="O534" s="1"/>
      <c r="P534" s="1"/>
      <c r="Q534" s="1"/>
      <c r="R534" s="1"/>
    </row>
    <row r="535" spans="15:18" x14ac:dyDescent="0.2">
      <c r="O535" s="1"/>
      <c r="P535" s="1"/>
      <c r="Q535" s="1"/>
      <c r="R535" s="1"/>
    </row>
    <row r="536" spans="15:18" x14ac:dyDescent="0.2">
      <c r="O536" s="1"/>
      <c r="P536" s="1"/>
      <c r="Q536" s="1"/>
      <c r="R536" s="1"/>
    </row>
    <row r="537" spans="15:18" x14ac:dyDescent="0.2">
      <c r="O537" s="1"/>
      <c r="P537" s="1"/>
      <c r="Q537" s="1"/>
      <c r="R537" s="1"/>
    </row>
    <row r="538" spans="15:18" x14ac:dyDescent="0.2">
      <c r="O538" s="1"/>
      <c r="P538" s="1"/>
      <c r="Q538" s="1"/>
      <c r="R538" s="1"/>
    </row>
    <row r="539" spans="15:18" x14ac:dyDescent="0.2">
      <c r="O539" s="1"/>
      <c r="P539" s="1"/>
      <c r="Q539" s="1"/>
      <c r="R539" s="1"/>
    </row>
    <row r="540" spans="15:18" x14ac:dyDescent="0.2">
      <c r="O540" s="1"/>
      <c r="P540" s="1"/>
      <c r="Q540" s="1"/>
      <c r="R540" s="1"/>
    </row>
    <row r="541" spans="15:18" x14ac:dyDescent="0.2">
      <c r="O541" s="1"/>
      <c r="P541" s="1"/>
      <c r="Q541" s="1"/>
      <c r="R541" s="1"/>
    </row>
    <row r="542" spans="15:18" x14ac:dyDescent="0.2">
      <c r="O542" s="1"/>
      <c r="P542" s="1"/>
      <c r="Q542" s="1"/>
      <c r="R542" s="1"/>
    </row>
    <row r="543" spans="15:18" x14ac:dyDescent="0.2">
      <c r="O543" s="1"/>
      <c r="P543" s="1"/>
      <c r="Q543" s="1"/>
      <c r="R543" s="1"/>
    </row>
    <row r="544" spans="15:18" x14ac:dyDescent="0.2">
      <c r="O544" s="1"/>
      <c r="P544" s="1"/>
      <c r="Q544" s="1"/>
      <c r="R544" s="1"/>
    </row>
    <row r="545" spans="15:18" x14ac:dyDescent="0.2">
      <c r="O545" s="1"/>
      <c r="P545" s="1"/>
      <c r="Q545" s="1"/>
      <c r="R545" s="1"/>
    </row>
    <row r="546" spans="15:18" x14ac:dyDescent="0.2">
      <c r="O546" s="1"/>
      <c r="P546" s="1"/>
      <c r="Q546" s="1"/>
      <c r="R546" s="1"/>
    </row>
    <row r="547" spans="15:18" x14ac:dyDescent="0.2">
      <c r="O547" s="1"/>
      <c r="P547" s="1"/>
      <c r="Q547" s="1"/>
      <c r="R547" s="1"/>
    </row>
    <row r="548" spans="15:18" x14ac:dyDescent="0.2">
      <c r="O548" s="1"/>
      <c r="P548" s="1"/>
      <c r="Q548" s="1"/>
      <c r="R548" s="1"/>
    </row>
    <row r="549" spans="15:18" x14ac:dyDescent="0.2">
      <c r="O549" s="1"/>
      <c r="P549" s="1"/>
      <c r="Q549" s="1"/>
      <c r="R549" s="1"/>
    </row>
    <row r="550" spans="15:18" x14ac:dyDescent="0.2">
      <c r="O550" s="1"/>
      <c r="P550" s="1"/>
      <c r="Q550" s="1"/>
      <c r="R550" s="1"/>
    </row>
    <row r="551" spans="15:18" x14ac:dyDescent="0.2">
      <c r="O551" s="1"/>
      <c r="P551" s="1"/>
      <c r="Q551" s="1"/>
      <c r="R551" s="1"/>
    </row>
    <row r="552" spans="15:18" x14ac:dyDescent="0.2">
      <c r="O552" s="1"/>
      <c r="P552" s="1"/>
      <c r="Q552" s="1"/>
      <c r="R552" s="1"/>
    </row>
    <row r="553" spans="15:18" x14ac:dyDescent="0.2">
      <c r="O553" s="1"/>
      <c r="P553" s="1"/>
      <c r="Q553" s="1"/>
      <c r="R553" s="1"/>
    </row>
    <row r="554" spans="15:18" x14ac:dyDescent="0.2">
      <c r="O554" s="1"/>
      <c r="P554" s="1"/>
      <c r="Q554" s="1"/>
      <c r="R554" s="1"/>
    </row>
    <row r="555" spans="15:18" x14ac:dyDescent="0.2">
      <c r="O555" s="1"/>
      <c r="P555" s="1"/>
      <c r="Q555" s="1"/>
      <c r="R555" s="1"/>
    </row>
    <row r="556" spans="15:18" x14ac:dyDescent="0.2">
      <c r="O556" s="1"/>
      <c r="P556" s="1"/>
      <c r="Q556" s="1"/>
      <c r="R556" s="1"/>
    </row>
    <row r="557" spans="15:18" x14ac:dyDescent="0.2">
      <c r="O557" s="1"/>
      <c r="P557" s="1"/>
      <c r="Q557" s="1"/>
      <c r="R557" s="1"/>
    </row>
    <row r="558" spans="15:18" x14ac:dyDescent="0.2">
      <c r="O558" s="1"/>
      <c r="P558" s="1"/>
      <c r="Q558" s="1"/>
      <c r="R558" s="1"/>
    </row>
    <row r="559" spans="15:18" x14ac:dyDescent="0.2">
      <c r="O559" s="1"/>
      <c r="P559" s="1"/>
      <c r="Q559" s="1"/>
      <c r="R559" s="1"/>
    </row>
    <row r="560" spans="15:18" x14ac:dyDescent="0.2">
      <c r="O560" s="1"/>
      <c r="P560" s="1"/>
      <c r="Q560" s="1"/>
      <c r="R560" s="1"/>
    </row>
    <row r="561" spans="15:18" x14ac:dyDescent="0.2">
      <c r="O561" s="1"/>
      <c r="P561" s="1"/>
      <c r="Q561" s="1"/>
      <c r="R561" s="1"/>
    </row>
    <row r="562" spans="15:18" x14ac:dyDescent="0.2">
      <c r="O562" s="1"/>
      <c r="P562" s="1"/>
      <c r="Q562" s="1"/>
      <c r="R562" s="1"/>
    </row>
    <row r="563" spans="15:18" x14ac:dyDescent="0.2">
      <c r="O563" s="1"/>
      <c r="P563" s="1"/>
      <c r="Q563" s="1"/>
      <c r="R563" s="1"/>
    </row>
    <row r="564" spans="15:18" x14ac:dyDescent="0.2">
      <c r="O564" s="1"/>
      <c r="P564" s="1"/>
      <c r="Q564" s="1"/>
      <c r="R564" s="1"/>
    </row>
    <row r="565" spans="15:18" x14ac:dyDescent="0.2">
      <c r="O565" s="1"/>
      <c r="P565" s="1"/>
      <c r="Q565" s="1"/>
      <c r="R565" s="1"/>
    </row>
    <row r="566" spans="15:18" x14ac:dyDescent="0.2">
      <c r="O566" s="1"/>
      <c r="P566" s="1"/>
      <c r="Q566" s="1"/>
      <c r="R566" s="1"/>
    </row>
    <row r="567" spans="15:18" x14ac:dyDescent="0.2">
      <c r="O567" s="1"/>
      <c r="P567" s="1"/>
      <c r="Q567" s="1"/>
      <c r="R567" s="1"/>
    </row>
    <row r="568" spans="15:18" x14ac:dyDescent="0.2">
      <c r="O568" s="1"/>
      <c r="P568" s="1"/>
      <c r="Q568" s="1"/>
      <c r="R568" s="1"/>
    </row>
    <row r="569" spans="15:18" x14ac:dyDescent="0.2">
      <c r="O569" s="1"/>
      <c r="P569" s="1"/>
      <c r="Q569" s="1"/>
      <c r="R569" s="1"/>
    </row>
    <row r="570" spans="15:18" x14ac:dyDescent="0.2">
      <c r="O570" s="1"/>
      <c r="P570" s="1"/>
      <c r="Q570" s="1"/>
      <c r="R570" s="1"/>
    </row>
    <row r="571" spans="15:18" x14ac:dyDescent="0.2">
      <c r="O571" s="1"/>
      <c r="P571" s="1"/>
      <c r="Q571" s="1"/>
      <c r="R571" s="1"/>
    </row>
    <row r="572" spans="15:18" x14ac:dyDescent="0.2">
      <c r="O572" s="1"/>
      <c r="P572" s="1"/>
      <c r="Q572" s="1"/>
      <c r="R572" s="1"/>
    </row>
    <row r="573" spans="15:18" x14ac:dyDescent="0.2">
      <c r="O573" s="1"/>
      <c r="P573" s="1"/>
      <c r="Q573" s="1"/>
      <c r="R573" s="1"/>
    </row>
    <row r="574" spans="15:18" x14ac:dyDescent="0.2">
      <c r="O574" s="1"/>
      <c r="P574" s="1"/>
      <c r="Q574" s="1"/>
      <c r="R574" s="1"/>
    </row>
    <row r="575" spans="15:18" x14ac:dyDescent="0.2">
      <c r="O575" s="1"/>
      <c r="P575" s="1"/>
      <c r="Q575" s="1"/>
      <c r="R575" s="1"/>
    </row>
    <row r="576" spans="15:18" x14ac:dyDescent="0.2">
      <c r="O576" s="1"/>
      <c r="P576" s="1"/>
      <c r="Q576" s="1"/>
      <c r="R576" s="1"/>
    </row>
    <row r="577" spans="15:18" x14ac:dyDescent="0.2">
      <c r="O577" s="1"/>
      <c r="P577" s="1"/>
      <c r="Q577" s="1"/>
      <c r="R577" s="1"/>
    </row>
    <row r="578" spans="15:18" x14ac:dyDescent="0.2">
      <c r="O578" s="1"/>
      <c r="P578" s="1"/>
      <c r="Q578" s="1"/>
      <c r="R578" s="1"/>
    </row>
    <row r="579" spans="15:18" x14ac:dyDescent="0.2">
      <c r="O579" s="1"/>
      <c r="P579" s="1"/>
      <c r="Q579" s="1"/>
      <c r="R579" s="1"/>
    </row>
    <row r="580" spans="15:18" x14ac:dyDescent="0.2">
      <c r="O580" s="1"/>
      <c r="P580" s="1"/>
      <c r="Q580" s="1"/>
      <c r="R580" s="1"/>
    </row>
    <row r="581" spans="15:18" x14ac:dyDescent="0.2">
      <c r="O581" s="1"/>
      <c r="P581" s="1"/>
      <c r="Q581" s="1"/>
      <c r="R581" s="1"/>
    </row>
    <row r="582" spans="15:18" x14ac:dyDescent="0.2">
      <c r="O582" s="1"/>
      <c r="P582" s="1"/>
      <c r="Q582" s="1"/>
      <c r="R582" s="1"/>
    </row>
    <row r="583" spans="15:18" x14ac:dyDescent="0.2">
      <c r="O583" s="1"/>
      <c r="P583" s="1"/>
      <c r="Q583" s="1"/>
      <c r="R583" s="1"/>
    </row>
    <row r="584" spans="15:18" x14ac:dyDescent="0.2">
      <c r="O584" s="1"/>
      <c r="P584" s="1"/>
      <c r="Q584" s="1"/>
      <c r="R584" s="1"/>
    </row>
    <row r="585" spans="15:18" x14ac:dyDescent="0.2">
      <c r="O585" s="1"/>
      <c r="P585" s="1"/>
      <c r="Q585" s="1"/>
      <c r="R585" s="1"/>
    </row>
    <row r="586" spans="15:18" x14ac:dyDescent="0.2">
      <c r="O586" s="1"/>
      <c r="P586" s="1"/>
      <c r="Q586" s="1"/>
      <c r="R586" s="1"/>
    </row>
    <row r="587" spans="15:18" x14ac:dyDescent="0.2">
      <c r="O587" s="1"/>
      <c r="P587" s="1"/>
      <c r="Q587" s="1"/>
      <c r="R587" s="1"/>
    </row>
    <row r="588" spans="15:18" x14ac:dyDescent="0.2">
      <c r="O588" s="1"/>
      <c r="P588" s="1"/>
      <c r="Q588" s="1"/>
      <c r="R588" s="1"/>
    </row>
    <row r="589" spans="15:18" x14ac:dyDescent="0.2">
      <c r="O589" s="1"/>
      <c r="P589" s="1"/>
      <c r="Q589" s="1"/>
      <c r="R589" s="1"/>
    </row>
    <row r="590" spans="15:18" x14ac:dyDescent="0.2">
      <c r="O590" s="1"/>
      <c r="P590" s="1"/>
      <c r="Q590" s="1"/>
      <c r="R590" s="1"/>
    </row>
    <row r="591" spans="15:18" x14ac:dyDescent="0.2">
      <c r="O591" s="1"/>
      <c r="P591" s="1"/>
      <c r="Q591" s="1"/>
      <c r="R591" s="1"/>
    </row>
    <row r="592" spans="15:18" x14ac:dyDescent="0.2">
      <c r="O592" s="1"/>
      <c r="P592" s="1"/>
      <c r="Q592" s="1"/>
      <c r="R592" s="1"/>
    </row>
    <row r="593" spans="15:18" x14ac:dyDescent="0.2">
      <c r="O593" s="1"/>
      <c r="P593" s="1"/>
      <c r="Q593" s="1"/>
      <c r="R593" s="1"/>
    </row>
    <row r="594" spans="15:18" x14ac:dyDescent="0.2">
      <c r="O594" s="1"/>
      <c r="P594" s="1"/>
      <c r="Q594" s="1"/>
      <c r="R594" s="1"/>
    </row>
    <row r="595" spans="15:18" x14ac:dyDescent="0.2">
      <c r="O595" s="1"/>
      <c r="P595" s="1"/>
      <c r="Q595" s="1"/>
      <c r="R595" s="1"/>
    </row>
    <row r="596" spans="15:18" x14ac:dyDescent="0.2">
      <c r="O596" s="1"/>
      <c r="P596" s="1"/>
      <c r="Q596" s="1"/>
      <c r="R596" s="1"/>
    </row>
    <row r="597" spans="15:18" x14ac:dyDescent="0.2">
      <c r="O597" s="1"/>
      <c r="P597" s="1"/>
      <c r="Q597" s="1"/>
      <c r="R597" s="1"/>
    </row>
    <row r="598" spans="15:18" x14ac:dyDescent="0.2">
      <c r="O598" s="1"/>
      <c r="P598" s="1"/>
      <c r="Q598" s="1"/>
      <c r="R598" s="1"/>
    </row>
    <row r="599" spans="15:18" x14ac:dyDescent="0.2">
      <c r="O599" s="1"/>
      <c r="P599" s="1"/>
      <c r="Q599" s="1"/>
      <c r="R599" s="1"/>
    </row>
    <row r="600" spans="15:18" x14ac:dyDescent="0.2">
      <c r="O600" s="1"/>
      <c r="P600" s="1"/>
      <c r="Q600" s="1"/>
      <c r="R600" s="1"/>
    </row>
    <row r="601" spans="15:18" x14ac:dyDescent="0.2">
      <c r="O601" s="1"/>
      <c r="P601" s="1"/>
      <c r="Q601" s="1"/>
      <c r="R601" s="1"/>
    </row>
    <row r="602" spans="15:18" x14ac:dyDescent="0.2">
      <c r="O602" s="1"/>
      <c r="P602" s="1"/>
      <c r="Q602" s="1"/>
      <c r="R602" s="1"/>
    </row>
    <row r="603" spans="15:18" x14ac:dyDescent="0.2">
      <c r="O603" s="1"/>
      <c r="P603" s="1"/>
      <c r="Q603" s="1"/>
      <c r="R603" s="1"/>
    </row>
    <row r="604" spans="15:18" x14ac:dyDescent="0.2">
      <c r="O604" s="1"/>
      <c r="P604" s="1"/>
      <c r="Q604" s="1"/>
      <c r="R604" s="1"/>
    </row>
    <row r="605" spans="15:18" x14ac:dyDescent="0.2">
      <c r="O605" s="1"/>
      <c r="P605" s="1"/>
      <c r="Q605" s="1"/>
      <c r="R605" s="1"/>
    </row>
    <row r="606" spans="15:18" x14ac:dyDescent="0.2">
      <c r="O606" s="1"/>
      <c r="P606" s="1"/>
      <c r="Q606" s="1"/>
      <c r="R606" s="1"/>
    </row>
    <row r="607" spans="15:18" x14ac:dyDescent="0.2">
      <c r="O607" s="1"/>
      <c r="P607" s="1"/>
      <c r="Q607" s="1"/>
      <c r="R607" s="1"/>
    </row>
    <row r="608" spans="15:18" x14ac:dyDescent="0.2">
      <c r="O608" s="1"/>
      <c r="P608" s="1"/>
      <c r="Q608" s="1"/>
      <c r="R608" s="1"/>
    </row>
    <row r="609" spans="15:18" x14ac:dyDescent="0.2">
      <c r="O609" s="1"/>
      <c r="P609" s="1"/>
      <c r="Q609" s="1"/>
      <c r="R609" s="1"/>
    </row>
    <row r="610" spans="15:18" x14ac:dyDescent="0.2">
      <c r="O610" s="1"/>
      <c r="P610" s="1"/>
      <c r="Q610" s="1"/>
      <c r="R610" s="1"/>
    </row>
    <row r="611" spans="15:18" x14ac:dyDescent="0.2">
      <c r="O611" s="1"/>
      <c r="P611" s="1"/>
      <c r="Q611" s="1"/>
      <c r="R611" s="1"/>
    </row>
    <row r="612" spans="15:18" x14ac:dyDescent="0.2">
      <c r="O612" s="1"/>
      <c r="P612" s="1"/>
      <c r="Q612" s="1"/>
      <c r="R612" s="1"/>
    </row>
    <row r="613" spans="15:18" x14ac:dyDescent="0.2">
      <c r="O613" s="1"/>
      <c r="P613" s="1"/>
      <c r="Q613" s="1"/>
      <c r="R613" s="1"/>
    </row>
    <row r="614" spans="15:18" x14ac:dyDescent="0.2">
      <c r="O614" s="1"/>
      <c r="P614" s="1"/>
      <c r="Q614" s="1"/>
      <c r="R614" s="1"/>
    </row>
    <row r="615" spans="15:18" x14ac:dyDescent="0.2">
      <c r="O615" s="1"/>
      <c r="P615" s="1"/>
      <c r="Q615" s="1"/>
      <c r="R615" s="1"/>
    </row>
    <row r="616" spans="15:18" x14ac:dyDescent="0.2">
      <c r="O616" s="1"/>
      <c r="P616" s="1"/>
      <c r="Q616" s="1"/>
      <c r="R616" s="1"/>
    </row>
    <row r="617" spans="15:18" x14ac:dyDescent="0.2">
      <c r="O617" s="1"/>
      <c r="P617" s="1"/>
      <c r="Q617" s="1"/>
      <c r="R617" s="1"/>
    </row>
    <row r="618" spans="15:18" x14ac:dyDescent="0.2">
      <c r="O618" s="1"/>
      <c r="P618" s="1"/>
      <c r="Q618" s="1"/>
      <c r="R618" s="1"/>
    </row>
    <row r="619" spans="15:18" x14ac:dyDescent="0.2">
      <c r="O619" s="1"/>
      <c r="P619" s="1"/>
      <c r="Q619" s="1"/>
      <c r="R619" s="1"/>
    </row>
    <row r="620" spans="15:18" x14ac:dyDescent="0.2">
      <c r="O620" s="1"/>
      <c r="P620" s="1"/>
      <c r="Q620" s="1"/>
      <c r="R620" s="1"/>
    </row>
    <row r="621" spans="15:18" x14ac:dyDescent="0.2">
      <c r="O621" s="1"/>
      <c r="P621" s="1"/>
      <c r="Q621" s="1"/>
      <c r="R621" s="1"/>
    </row>
    <row r="622" spans="15:18" x14ac:dyDescent="0.2">
      <c r="O622" s="1"/>
      <c r="P622" s="1"/>
      <c r="Q622" s="1"/>
      <c r="R622" s="1"/>
    </row>
    <row r="623" spans="15:18" x14ac:dyDescent="0.2">
      <c r="O623" s="1"/>
      <c r="P623" s="1"/>
      <c r="Q623" s="1"/>
      <c r="R623" s="1"/>
    </row>
    <row r="624" spans="15:18" x14ac:dyDescent="0.2">
      <c r="O624" s="1"/>
      <c r="P624" s="1"/>
      <c r="Q624" s="1"/>
      <c r="R624" s="1"/>
    </row>
    <row r="625" spans="15:18" x14ac:dyDescent="0.2">
      <c r="O625" s="1"/>
      <c r="P625" s="1"/>
      <c r="Q625" s="1"/>
      <c r="R625" s="1"/>
    </row>
    <row r="626" spans="15:18" x14ac:dyDescent="0.2">
      <c r="O626" s="1"/>
      <c r="P626" s="1"/>
      <c r="Q626" s="1"/>
      <c r="R626" s="1"/>
    </row>
    <row r="627" spans="15:18" x14ac:dyDescent="0.2">
      <c r="O627" s="1"/>
      <c r="P627" s="1"/>
      <c r="Q627" s="1"/>
      <c r="R627" s="1"/>
    </row>
    <row r="628" spans="15:18" x14ac:dyDescent="0.2">
      <c r="O628" s="1"/>
      <c r="P628" s="1"/>
      <c r="Q628" s="1"/>
      <c r="R628" s="1"/>
    </row>
    <row r="629" spans="15:18" x14ac:dyDescent="0.2">
      <c r="O629" s="1"/>
      <c r="P629" s="1"/>
      <c r="Q629" s="1"/>
      <c r="R629" s="1"/>
    </row>
    <row r="630" spans="15:18" x14ac:dyDescent="0.2">
      <c r="O630" s="1"/>
      <c r="P630" s="1"/>
      <c r="Q630" s="1"/>
      <c r="R630" s="1"/>
    </row>
    <row r="631" spans="15:18" x14ac:dyDescent="0.2">
      <c r="O631" s="1"/>
      <c r="P631" s="1"/>
      <c r="Q631" s="1"/>
      <c r="R631" s="1"/>
    </row>
    <row r="632" spans="15:18" x14ac:dyDescent="0.2">
      <c r="O632" s="1"/>
      <c r="P632" s="1"/>
      <c r="Q632" s="1"/>
      <c r="R632" s="1"/>
    </row>
    <row r="633" spans="15:18" x14ac:dyDescent="0.2">
      <c r="O633" s="1"/>
      <c r="P633" s="1"/>
      <c r="Q633" s="1"/>
      <c r="R633" s="1"/>
    </row>
    <row r="634" spans="15:18" x14ac:dyDescent="0.2">
      <c r="O634" s="1"/>
      <c r="P634" s="1"/>
      <c r="Q634" s="1"/>
      <c r="R634" s="1"/>
    </row>
    <row r="635" spans="15:18" x14ac:dyDescent="0.2">
      <c r="O635" s="1"/>
      <c r="P635" s="1"/>
      <c r="Q635" s="1"/>
      <c r="R635" s="1"/>
    </row>
    <row r="636" spans="15:18" x14ac:dyDescent="0.2">
      <c r="O636" s="1"/>
      <c r="P636" s="1"/>
      <c r="Q636" s="1"/>
      <c r="R636" s="1"/>
    </row>
    <row r="637" spans="15:18" x14ac:dyDescent="0.2">
      <c r="O637" s="1"/>
      <c r="P637" s="1"/>
      <c r="Q637" s="1"/>
      <c r="R637" s="1"/>
    </row>
    <row r="638" spans="15:18" x14ac:dyDescent="0.2">
      <c r="O638" s="1"/>
      <c r="P638" s="1"/>
      <c r="Q638" s="1"/>
      <c r="R638" s="1"/>
    </row>
    <row r="639" spans="15:18" x14ac:dyDescent="0.2">
      <c r="O639" s="1"/>
      <c r="P639" s="1"/>
      <c r="Q639" s="1"/>
      <c r="R639" s="1"/>
    </row>
    <row r="640" spans="15:18" x14ac:dyDescent="0.2">
      <c r="O640" s="1"/>
      <c r="P640" s="1"/>
      <c r="Q640" s="1"/>
      <c r="R640" s="1"/>
    </row>
    <row r="641" spans="15:18" x14ac:dyDescent="0.2">
      <c r="O641" s="1"/>
      <c r="P641" s="1"/>
      <c r="Q641" s="1"/>
      <c r="R641" s="1"/>
    </row>
    <row r="642" spans="15:18" x14ac:dyDescent="0.2">
      <c r="O642" s="1"/>
      <c r="P642" s="1"/>
      <c r="Q642" s="1"/>
      <c r="R642" s="1"/>
    </row>
    <row r="643" spans="15:18" x14ac:dyDescent="0.2">
      <c r="O643" s="1"/>
      <c r="P643" s="1"/>
      <c r="Q643" s="1"/>
      <c r="R643" s="1"/>
    </row>
    <row r="644" spans="15:18" x14ac:dyDescent="0.2">
      <c r="O644" s="1"/>
      <c r="P644" s="1"/>
      <c r="Q644" s="1"/>
      <c r="R644" s="1"/>
    </row>
    <row r="645" spans="15:18" x14ac:dyDescent="0.2">
      <c r="O645" s="1"/>
      <c r="P645" s="1"/>
      <c r="Q645" s="1"/>
      <c r="R645" s="1"/>
    </row>
    <row r="646" spans="15:18" x14ac:dyDescent="0.2">
      <c r="O646" s="1"/>
      <c r="P646" s="1"/>
      <c r="Q646" s="1"/>
      <c r="R646" s="1"/>
    </row>
    <row r="647" spans="15:18" x14ac:dyDescent="0.2">
      <c r="O647" s="1"/>
      <c r="P647" s="1"/>
      <c r="Q647" s="1"/>
      <c r="R647" s="1"/>
    </row>
    <row r="648" spans="15:18" x14ac:dyDescent="0.2">
      <c r="O648" s="1"/>
      <c r="P648" s="1"/>
      <c r="Q648" s="1"/>
      <c r="R648" s="1"/>
    </row>
    <row r="649" spans="15:18" x14ac:dyDescent="0.2">
      <c r="O649" s="1"/>
      <c r="P649" s="1"/>
      <c r="Q649" s="1"/>
      <c r="R649" s="1"/>
    </row>
    <row r="650" spans="15:18" x14ac:dyDescent="0.2">
      <c r="O650" s="1"/>
      <c r="P650" s="1"/>
      <c r="Q650" s="1"/>
      <c r="R650" s="1"/>
    </row>
    <row r="651" spans="15:18" x14ac:dyDescent="0.2">
      <c r="O651" s="1"/>
      <c r="P651" s="1"/>
      <c r="Q651" s="1"/>
      <c r="R651" s="1"/>
    </row>
    <row r="652" spans="15:18" x14ac:dyDescent="0.2">
      <c r="O652" s="1"/>
      <c r="P652" s="1"/>
      <c r="Q652" s="1"/>
      <c r="R652" s="1"/>
    </row>
    <row r="653" spans="15:18" x14ac:dyDescent="0.2">
      <c r="O653" s="1"/>
      <c r="P653" s="1"/>
      <c r="Q653" s="1"/>
      <c r="R653" s="1"/>
    </row>
    <row r="654" spans="15:18" x14ac:dyDescent="0.2">
      <c r="O654" s="1"/>
      <c r="P654" s="1"/>
      <c r="Q654" s="1"/>
      <c r="R654" s="1"/>
    </row>
    <row r="655" spans="15:18" x14ac:dyDescent="0.2">
      <c r="O655" s="1"/>
      <c r="P655" s="1"/>
      <c r="Q655" s="1"/>
      <c r="R655" s="1"/>
    </row>
    <row r="656" spans="15:18" x14ac:dyDescent="0.2">
      <c r="O656" s="1"/>
      <c r="P656" s="1"/>
      <c r="Q656" s="1"/>
      <c r="R656" s="1"/>
    </row>
    <row r="657" spans="15:18" x14ac:dyDescent="0.2">
      <c r="O657" s="1"/>
      <c r="P657" s="1"/>
      <c r="Q657" s="1"/>
      <c r="R657" s="1"/>
    </row>
    <row r="658" spans="15:18" x14ac:dyDescent="0.2">
      <c r="O658" s="1"/>
      <c r="P658" s="1"/>
      <c r="Q658" s="1"/>
      <c r="R658" s="1"/>
    </row>
    <row r="659" spans="15:18" x14ac:dyDescent="0.2">
      <c r="O659" s="1"/>
      <c r="P659" s="1"/>
      <c r="Q659" s="1"/>
      <c r="R659" s="1"/>
    </row>
    <row r="660" spans="15:18" x14ac:dyDescent="0.2">
      <c r="O660" s="1"/>
      <c r="P660" s="1"/>
      <c r="Q660" s="1"/>
      <c r="R660" s="1"/>
    </row>
    <row r="661" spans="15:18" x14ac:dyDescent="0.2">
      <c r="O661" s="1"/>
      <c r="P661" s="1"/>
      <c r="Q661" s="1"/>
      <c r="R661" s="1"/>
    </row>
    <row r="662" spans="15:18" x14ac:dyDescent="0.2">
      <c r="O662" s="1"/>
      <c r="P662" s="1"/>
      <c r="Q662" s="1"/>
      <c r="R662" s="1"/>
    </row>
    <row r="663" spans="15:18" x14ac:dyDescent="0.2">
      <c r="O663" s="1"/>
      <c r="P663" s="1"/>
      <c r="Q663" s="1"/>
      <c r="R663" s="1"/>
    </row>
    <row r="664" spans="15:18" x14ac:dyDescent="0.2">
      <c r="O664" s="1"/>
      <c r="P664" s="1"/>
      <c r="Q664" s="1"/>
      <c r="R664" s="1"/>
    </row>
    <row r="665" spans="15:18" x14ac:dyDescent="0.2">
      <c r="O665" s="1"/>
      <c r="P665" s="1"/>
      <c r="Q665" s="1"/>
      <c r="R665" s="1"/>
    </row>
    <row r="666" spans="15:18" x14ac:dyDescent="0.2">
      <c r="O666" s="1"/>
      <c r="P666" s="1"/>
      <c r="Q666" s="1"/>
      <c r="R666" s="1"/>
    </row>
    <row r="667" spans="15:18" x14ac:dyDescent="0.2">
      <c r="O667" s="1"/>
      <c r="P667" s="1"/>
      <c r="Q667" s="1"/>
      <c r="R667" s="1"/>
    </row>
    <row r="668" spans="15:18" x14ac:dyDescent="0.2">
      <c r="O668" s="1"/>
      <c r="P668" s="1"/>
      <c r="Q668" s="1"/>
      <c r="R668" s="1"/>
    </row>
    <row r="669" spans="15:18" x14ac:dyDescent="0.2">
      <c r="O669" s="1"/>
      <c r="P669" s="1"/>
      <c r="Q669" s="1"/>
      <c r="R669" s="1"/>
    </row>
    <row r="670" spans="15:18" x14ac:dyDescent="0.2">
      <c r="O670" s="1"/>
      <c r="P670" s="1"/>
      <c r="Q670" s="1"/>
      <c r="R670" s="1"/>
    </row>
    <row r="671" spans="15:18" x14ac:dyDescent="0.2">
      <c r="O671" s="1"/>
      <c r="P671" s="1"/>
      <c r="Q671" s="1"/>
      <c r="R671" s="1"/>
    </row>
    <row r="672" spans="15:18" x14ac:dyDescent="0.2">
      <c r="O672" s="1"/>
      <c r="P672" s="1"/>
      <c r="Q672" s="1"/>
      <c r="R672" s="1"/>
    </row>
    <row r="673" spans="15:18" x14ac:dyDescent="0.2">
      <c r="O673" s="1"/>
      <c r="P673" s="1"/>
      <c r="Q673" s="1"/>
      <c r="R673" s="1"/>
    </row>
    <row r="674" spans="15:18" x14ac:dyDescent="0.2">
      <c r="O674" s="1"/>
      <c r="P674" s="1"/>
      <c r="Q674" s="1"/>
      <c r="R674" s="1"/>
    </row>
    <row r="675" spans="15:18" x14ac:dyDescent="0.2">
      <c r="O675" s="1"/>
      <c r="P675" s="1"/>
      <c r="Q675" s="1"/>
      <c r="R675" s="1"/>
    </row>
    <row r="676" spans="15:18" x14ac:dyDescent="0.2">
      <c r="O676" s="1"/>
      <c r="P676" s="1"/>
      <c r="Q676" s="1"/>
      <c r="R676" s="1"/>
    </row>
    <row r="677" spans="15:18" x14ac:dyDescent="0.2">
      <c r="O677" s="1"/>
      <c r="P677" s="1"/>
      <c r="Q677" s="1"/>
      <c r="R677" s="1"/>
    </row>
    <row r="678" spans="15:18" x14ac:dyDescent="0.2">
      <c r="O678" s="1"/>
      <c r="P678" s="1"/>
      <c r="Q678" s="1"/>
      <c r="R678" s="1"/>
    </row>
    <row r="679" spans="15:18" x14ac:dyDescent="0.2">
      <c r="O679" s="1"/>
      <c r="P679" s="1"/>
      <c r="Q679" s="1"/>
      <c r="R679" s="1"/>
    </row>
    <row r="680" spans="15:18" x14ac:dyDescent="0.2">
      <c r="O680" s="1"/>
      <c r="P680" s="1"/>
      <c r="Q680" s="1"/>
      <c r="R680" s="1"/>
    </row>
    <row r="681" spans="15:18" x14ac:dyDescent="0.2">
      <c r="O681" s="1"/>
      <c r="P681" s="1"/>
      <c r="Q681" s="1"/>
      <c r="R681" s="1"/>
    </row>
    <row r="682" spans="15:18" x14ac:dyDescent="0.2">
      <c r="O682" s="1"/>
      <c r="P682" s="1"/>
      <c r="Q682" s="1"/>
      <c r="R682" s="1"/>
    </row>
    <row r="683" spans="15:18" x14ac:dyDescent="0.2">
      <c r="O683" s="1"/>
      <c r="P683" s="1"/>
      <c r="Q683" s="1"/>
      <c r="R683" s="1"/>
    </row>
    <row r="684" spans="15:18" x14ac:dyDescent="0.2">
      <c r="O684" s="1"/>
      <c r="P684" s="1"/>
      <c r="Q684" s="1"/>
      <c r="R684" s="1"/>
    </row>
    <row r="685" spans="15:18" x14ac:dyDescent="0.2">
      <c r="O685" s="1"/>
      <c r="P685" s="1"/>
      <c r="Q685" s="1"/>
      <c r="R685" s="1"/>
    </row>
    <row r="686" spans="15:18" x14ac:dyDescent="0.2">
      <c r="O686" s="1"/>
      <c r="P686" s="1"/>
      <c r="Q686" s="1"/>
      <c r="R686" s="1"/>
    </row>
    <row r="687" spans="15:18" x14ac:dyDescent="0.2">
      <c r="O687" s="1"/>
      <c r="P687" s="1"/>
      <c r="Q687" s="1"/>
      <c r="R687" s="1"/>
    </row>
    <row r="688" spans="15:18" x14ac:dyDescent="0.2">
      <c r="O688" s="1"/>
      <c r="P688" s="1"/>
      <c r="Q688" s="1"/>
      <c r="R688" s="1"/>
    </row>
    <row r="689" spans="15:18" x14ac:dyDescent="0.2">
      <c r="O689" s="1"/>
      <c r="P689" s="1"/>
      <c r="Q689" s="1"/>
      <c r="R689" s="1"/>
    </row>
    <row r="690" spans="15:18" x14ac:dyDescent="0.2">
      <c r="O690" s="1"/>
      <c r="P690" s="1"/>
      <c r="Q690" s="1"/>
      <c r="R690" s="1"/>
    </row>
    <row r="691" spans="15:18" x14ac:dyDescent="0.2">
      <c r="O691" s="1"/>
      <c r="P691" s="1"/>
      <c r="Q691" s="1"/>
      <c r="R691" s="1"/>
    </row>
    <row r="692" spans="15:18" x14ac:dyDescent="0.2">
      <c r="O692" s="1"/>
      <c r="P692" s="1"/>
      <c r="Q692" s="1"/>
      <c r="R692" s="1"/>
    </row>
    <row r="693" spans="15:18" x14ac:dyDescent="0.2">
      <c r="O693" s="1"/>
      <c r="P693" s="1"/>
      <c r="Q693" s="1"/>
      <c r="R693" s="1"/>
    </row>
    <row r="694" spans="15:18" x14ac:dyDescent="0.2">
      <c r="O694" s="1"/>
      <c r="P694" s="1"/>
      <c r="Q694" s="1"/>
      <c r="R694" s="1"/>
    </row>
    <row r="695" spans="15:18" x14ac:dyDescent="0.2">
      <c r="O695" s="1"/>
      <c r="P695" s="1"/>
      <c r="Q695" s="1"/>
      <c r="R695" s="1"/>
    </row>
    <row r="696" spans="15:18" x14ac:dyDescent="0.2">
      <c r="O696" s="1"/>
      <c r="P696" s="1"/>
      <c r="Q696" s="1"/>
      <c r="R696" s="1"/>
    </row>
    <row r="697" spans="15:18" x14ac:dyDescent="0.2">
      <c r="O697" s="1"/>
      <c r="P697" s="1"/>
      <c r="Q697" s="1"/>
      <c r="R697" s="1"/>
    </row>
    <row r="698" spans="15:18" x14ac:dyDescent="0.2">
      <c r="O698" s="1"/>
      <c r="P698" s="1"/>
      <c r="Q698" s="1"/>
      <c r="R698" s="1"/>
    </row>
    <row r="699" spans="15:18" x14ac:dyDescent="0.2">
      <c r="O699" s="1"/>
      <c r="P699" s="1"/>
      <c r="Q699" s="1"/>
      <c r="R699" s="1"/>
    </row>
    <row r="700" spans="15:18" x14ac:dyDescent="0.2">
      <c r="O700" s="1"/>
      <c r="P700" s="1"/>
      <c r="Q700" s="1"/>
      <c r="R700" s="1"/>
    </row>
    <row r="701" spans="15:18" x14ac:dyDescent="0.2">
      <c r="O701" s="1"/>
      <c r="P701" s="1"/>
      <c r="Q701" s="1"/>
      <c r="R701" s="1"/>
    </row>
    <row r="702" spans="15:18" x14ac:dyDescent="0.2">
      <c r="O702" s="1"/>
      <c r="P702" s="1"/>
      <c r="Q702" s="1"/>
      <c r="R702" s="1"/>
    </row>
    <row r="703" spans="15:18" x14ac:dyDescent="0.2">
      <c r="O703" s="1"/>
      <c r="P703" s="1"/>
      <c r="Q703" s="1"/>
      <c r="R703" s="1"/>
    </row>
    <row r="704" spans="15:18" x14ac:dyDescent="0.2">
      <c r="O704" s="1"/>
      <c r="P704" s="1"/>
      <c r="Q704" s="1"/>
      <c r="R704" s="1"/>
    </row>
    <row r="705" spans="15:18" x14ac:dyDescent="0.2">
      <c r="O705" s="1"/>
      <c r="P705" s="1"/>
      <c r="Q705" s="1"/>
      <c r="R705" s="1"/>
    </row>
    <row r="706" spans="15:18" x14ac:dyDescent="0.2">
      <c r="O706" s="1"/>
      <c r="P706" s="1"/>
      <c r="Q706" s="1"/>
      <c r="R706" s="1"/>
    </row>
    <row r="707" spans="15:18" x14ac:dyDescent="0.2">
      <c r="O707" s="1"/>
      <c r="P707" s="1"/>
      <c r="Q707" s="1"/>
      <c r="R707" s="1"/>
    </row>
    <row r="708" spans="15:18" x14ac:dyDescent="0.2">
      <c r="O708" s="1"/>
      <c r="P708" s="1"/>
      <c r="Q708" s="1"/>
      <c r="R708" s="1"/>
    </row>
    <row r="709" spans="15:18" x14ac:dyDescent="0.2">
      <c r="O709" s="1"/>
      <c r="P709" s="1"/>
      <c r="Q709" s="1"/>
      <c r="R709" s="1"/>
    </row>
    <row r="710" spans="15:18" x14ac:dyDescent="0.2">
      <c r="O710" s="1"/>
      <c r="P710" s="1"/>
      <c r="Q710" s="1"/>
      <c r="R710" s="1"/>
    </row>
    <row r="711" spans="15:18" x14ac:dyDescent="0.2">
      <c r="O711" s="1"/>
      <c r="P711" s="1"/>
      <c r="Q711" s="1"/>
      <c r="R711" s="1"/>
    </row>
    <row r="712" spans="15:18" x14ac:dyDescent="0.2">
      <c r="O712" s="1"/>
      <c r="P712" s="1"/>
      <c r="Q712" s="1"/>
      <c r="R712" s="1"/>
    </row>
    <row r="713" spans="15:18" x14ac:dyDescent="0.2">
      <c r="O713" s="1"/>
      <c r="P713" s="1"/>
      <c r="Q713" s="1"/>
      <c r="R713" s="1"/>
    </row>
    <row r="714" spans="15:18" x14ac:dyDescent="0.2">
      <c r="O714" s="1"/>
      <c r="P714" s="1"/>
      <c r="Q714" s="1"/>
      <c r="R714" s="1"/>
    </row>
    <row r="715" spans="15:18" x14ac:dyDescent="0.2">
      <c r="O715" s="1"/>
      <c r="P715" s="1"/>
      <c r="Q715" s="1"/>
      <c r="R715" s="1"/>
    </row>
    <row r="716" spans="15:18" x14ac:dyDescent="0.2">
      <c r="O716" s="1"/>
      <c r="P716" s="1"/>
      <c r="Q716" s="1"/>
      <c r="R716" s="1"/>
    </row>
    <row r="717" spans="15:18" x14ac:dyDescent="0.2">
      <c r="O717" s="1"/>
      <c r="P717" s="1"/>
      <c r="Q717" s="1"/>
      <c r="R717" s="1"/>
    </row>
    <row r="718" spans="15:18" x14ac:dyDescent="0.2">
      <c r="O718" s="1"/>
      <c r="P718" s="1"/>
      <c r="Q718" s="1"/>
      <c r="R718" s="1"/>
    </row>
    <row r="719" spans="15:18" x14ac:dyDescent="0.2">
      <c r="O719" s="1"/>
      <c r="P719" s="1"/>
      <c r="Q719" s="1"/>
      <c r="R719" s="1"/>
    </row>
    <row r="720" spans="15:18" x14ac:dyDescent="0.2">
      <c r="O720" s="1"/>
      <c r="P720" s="1"/>
      <c r="Q720" s="1"/>
      <c r="R720" s="1"/>
    </row>
    <row r="721" spans="15:18" x14ac:dyDescent="0.2">
      <c r="O721" s="1"/>
      <c r="P721" s="1"/>
      <c r="Q721" s="1"/>
      <c r="R721" s="1"/>
    </row>
    <row r="722" spans="15:18" x14ac:dyDescent="0.2">
      <c r="O722" s="1"/>
      <c r="P722" s="1"/>
      <c r="Q722" s="1"/>
      <c r="R722" s="1"/>
    </row>
    <row r="723" spans="15:18" x14ac:dyDescent="0.2">
      <c r="O723" s="1"/>
      <c r="P723" s="1"/>
      <c r="Q723" s="1"/>
      <c r="R723" s="1"/>
    </row>
    <row r="724" spans="15:18" x14ac:dyDescent="0.2">
      <c r="O724" s="1"/>
      <c r="P724" s="1"/>
      <c r="Q724" s="1"/>
      <c r="R724" s="1"/>
    </row>
    <row r="725" spans="15:18" x14ac:dyDescent="0.2">
      <c r="O725" s="1"/>
      <c r="P725" s="1"/>
      <c r="Q725" s="1"/>
      <c r="R725" s="1"/>
    </row>
    <row r="726" spans="15:18" x14ac:dyDescent="0.2">
      <c r="O726" s="1"/>
      <c r="P726" s="1"/>
      <c r="Q726" s="1"/>
      <c r="R726" s="1"/>
    </row>
    <row r="727" spans="15:18" x14ac:dyDescent="0.2">
      <c r="O727" s="1"/>
      <c r="P727" s="1"/>
      <c r="Q727" s="1"/>
      <c r="R727" s="1"/>
    </row>
    <row r="728" spans="15:18" x14ac:dyDescent="0.2">
      <c r="O728" s="1"/>
      <c r="P728" s="1"/>
      <c r="Q728" s="1"/>
      <c r="R728" s="1"/>
    </row>
    <row r="729" spans="15:18" x14ac:dyDescent="0.2">
      <c r="O729" s="1"/>
      <c r="P729" s="1"/>
      <c r="Q729" s="1"/>
      <c r="R729" s="1"/>
    </row>
    <row r="730" spans="15:18" x14ac:dyDescent="0.2">
      <c r="O730" s="1"/>
      <c r="P730" s="1"/>
      <c r="Q730" s="1"/>
      <c r="R730" s="1"/>
    </row>
    <row r="731" spans="15:18" x14ac:dyDescent="0.2">
      <c r="O731" s="1"/>
      <c r="P731" s="1"/>
      <c r="Q731" s="1"/>
      <c r="R731" s="1"/>
    </row>
    <row r="732" spans="15:18" x14ac:dyDescent="0.2">
      <c r="O732" s="1"/>
      <c r="P732" s="1"/>
      <c r="Q732" s="1"/>
      <c r="R732" s="1"/>
    </row>
    <row r="733" spans="15:18" x14ac:dyDescent="0.2">
      <c r="O733" s="1"/>
      <c r="P733" s="1"/>
      <c r="Q733" s="1"/>
      <c r="R733" s="1"/>
    </row>
    <row r="734" spans="15:18" x14ac:dyDescent="0.2">
      <c r="O734" s="1"/>
      <c r="P734" s="1"/>
      <c r="Q734" s="1"/>
      <c r="R734" s="1"/>
    </row>
    <row r="735" spans="15:18" x14ac:dyDescent="0.2">
      <c r="O735" s="1"/>
      <c r="P735" s="1"/>
      <c r="Q735" s="1"/>
      <c r="R735" s="1"/>
    </row>
    <row r="736" spans="15:18" x14ac:dyDescent="0.2">
      <c r="O736" s="1"/>
      <c r="P736" s="1"/>
      <c r="Q736" s="1"/>
      <c r="R736" s="1"/>
    </row>
    <row r="737" spans="15:18" x14ac:dyDescent="0.2">
      <c r="O737" s="1"/>
      <c r="P737" s="1"/>
      <c r="Q737" s="1"/>
      <c r="R737" s="1"/>
    </row>
    <row r="738" spans="15:18" x14ac:dyDescent="0.2">
      <c r="O738" s="1"/>
      <c r="P738" s="1"/>
      <c r="Q738" s="1"/>
      <c r="R738" s="1"/>
    </row>
    <row r="739" spans="15:18" x14ac:dyDescent="0.2">
      <c r="O739" s="1"/>
      <c r="P739" s="1"/>
      <c r="Q739" s="1"/>
      <c r="R739" s="1"/>
    </row>
    <row r="740" spans="15:18" x14ac:dyDescent="0.2">
      <c r="O740" s="1"/>
      <c r="P740" s="1"/>
      <c r="Q740" s="1"/>
      <c r="R740" s="1"/>
    </row>
    <row r="741" spans="15:18" x14ac:dyDescent="0.2">
      <c r="O741" s="1"/>
      <c r="P741" s="1"/>
      <c r="Q741" s="1"/>
      <c r="R741" s="1"/>
    </row>
    <row r="742" spans="15:18" x14ac:dyDescent="0.2">
      <c r="O742" s="1"/>
      <c r="P742" s="1"/>
      <c r="Q742" s="1"/>
      <c r="R742" s="1"/>
    </row>
    <row r="743" spans="15:18" x14ac:dyDescent="0.2">
      <c r="O743" s="1"/>
      <c r="P743" s="1"/>
      <c r="Q743" s="1"/>
      <c r="R743" s="1"/>
    </row>
    <row r="744" spans="15:18" x14ac:dyDescent="0.2">
      <c r="O744" s="1"/>
      <c r="P744" s="1"/>
      <c r="Q744" s="1"/>
      <c r="R744" s="1"/>
    </row>
    <row r="745" spans="15:18" x14ac:dyDescent="0.2">
      <c r="O745" s="1"/>
      <c r="P745" s="1"/>
      <c r="Q745" s="1"/>
      <c r="R745" s="1"/>
    </row>
    <row r="746" spans="15:18" x14ac:dyDescent="0.2">
      <c r="O746" s="1"/>
      <c r="P746" s="1"/>
      <c r="Q746" s="1"/>
      <c r="R746" s="1"/>
    </row>
    <row r="747" spans="15:18" x14ac:dyDescent="0.2">
      <c r="O747" s="1"/>
      <c r="P747" s="1"/>
      <c r="Q747" s="1"/>
      <c r="R747" s="1"/>
    </row>
    <row r="748" spans="15:18" x14ac:dyDescent="0.2">
      <c r="O748" s="1"/>
      <c r="P748" s="1"/>
      <c r="Q748" s="1"/>
      <c r="R748" s="1"/>
    </row>
    <row r="749" spans="15:18" x14ac:dyDescent="0.2">
      <c r="O749" s="1"/>
      <c r="P749" s="1"/>
      <c r="Q749" s="1"/>
      <c r="R749" s="1"/>
    </row>
    <row r="750" spans="15:18" x14ac:dyDescent="0.2">
      <c r="O750" s="1"/>
      <c r="P750" s="1"/>
      <c r="Q750" s="1"/>
      <c r="R750" s="1"/>
    </row>
    <row r="751" spans="15:18" x14ac:dyDescent="0.2">
      <c r="O751" s="1"/>
      <c r="P751" s="1"/>
      <c r="Q751" s="1"/>
      <c r="R751" s="1"/>
    </row>
    <row r="752" spans="15:18" x14ac:dyDescent="0.2">
      <c r="O752" s="1"/>
      <c r="P752" s="1"/>
      <c r="Q752" s="1"/>
      <c r="R752" s="1"/>
    </row>
    <row r="753" spans="15:18" x14ac:dyDescent="0.2">
      <c r="O753" s="1"/>
      <c r="P753" s="1"/>
      <c r="Q753" s="1"/>
      <c r="R753" s="1"/>
    </row>
    <row r="754" spans="15:18" x14ac:dyDescent="0.2">
      <c r="O754" s="1"/>
      <c r="P754" s="1"/>
      <c r="Q754" s="1"/>
      <c r="R754" s="1"/>
    </row>
    <row r="755" spans="15:18" x14ac:dyDescent="0.2">
      <c r="O755" s="1"/>
      <c r="P755" s="1"/>
      <c r="Q755" s="1"/>
      <c r="R755" s="1"/>
    </row>
    <row r="756" spans="15:18" x14ac:dyDescent="0.2">
      <c r="O756" s="1"/>
      <c r="P756" s="1"/>
      <c r="Q756" s="1"/>
      <c r="R756" s="1"/>
    </row>
    <row r="757" spans="15:18" x14ac:dyDescent="0.2">
      <c r="O757" s="1"/>
      <c r="P757" s="1"/>
      <c r="Q757" s="1"/>
      <c r="R757" s="1"/>
    </row>
    <row r="758" spans="15:18" x14ac:dyDescent="0.2">
      <c r="O758" s="1"/>
      <c r="P758" s="1"/>
      <c r="Q758" s="1"/>
      <c r="R758" s="1"/>
    </row>
    <row r="759" spans="15:18" x14ac:dyDescent="0.2">
      <c r="O759" s="1"/>
      <c r="P759" s="1"/>
      <c r="Q759" s="1"/>
      <c r="R759" s="1"/>
    </row>
    <row r="760" spans="15:18" x14ac:dyDescent="0.2">
      <c r="O760" s="1"/>
      <c r="P760" s="1"/>
      <c r="Q760" s="1"/>
      <c r="R760" s="1"/>
    </row>
    <row r="761" spans="15:18" x14ac:dyDescent="0.2">
      <c r="O761" s="1"/>
      <c r="P761" s="1"/>
      <c r="Q761" s="1"/>
      <c r="R761" s="1"/>
    </row>
    <row r="762" spans="15:18" x14ac:dyDescent="0.2">
      <c r="O762" s="1"/>
      <c r="P762" s="1"/>
      <c r="Q762" s="1"/>
      <c r="R762" s="1"/>
    </row>
    <row r="763" spans="15:18" x14ac:dyDescent="0.2">
      <c r="O763" s="1"/>
      <c r="P763" s="1"/>
      <c r="Q763" s="1"/>
      <c r="R763" s="1"/>
    </row>
    <row r="764" spans="15:18" x14ac:dyDescent="0.2">
      <c r="O764" s="1"/>
      <c r="P764" s="1"/>
      <c r="Q764" s="1"/>
      <c r="R764" s="1"/>
    </row>
    <row r="765" spans="15:18" x14ac:dyDescent="0.2">
      <c r="O765" s="1"/>
      <c r="P765" s="1"/>
      <c r="Q765" s="1"/>
      <c r="R765" s="1"/>
    </row>
    <row r="766" spans="15:18" x14ac:dyDescent="0.2">
      <c r="O766" s="1"/>
      <c r="P766" s="1"/>
      <c r="Q766" s="1"/>
      <c r="R766" s="1"/>
    </row>
    <row r="767" spans="15:18" x14ac:dyDescent="0.2">
      <c r="O767" s="1"/>
      <c r="P767" s="1"/>
      <c r="Q767" s="1"/>
      <c r="R767" s="1"/>
    </row>
    <row r="768" spans="15:18" x14ac:dyDescent="0.2">
      <c r="O768" s="1"/>
      <c r="P768" s="1"/>
      <c r="Q768" s="1"/>
      <c r="R768" s="1"/>
    </row>
    <row r="769" spans="15:18" x14ac:dyDescent="0.2">
      <c r="O769" s="1"/>
      <c r="P769" s="1"/>
      <c r="Q769" s="1"/>
      <c r="R769" s="1"/>
    </row>
    <row r="770" spans="15:18" x14ac:dyDescent="0.2">
      <c r="O770" s="1"/>
      <c r="P770" s="1"/>
      <c r="Q770" s="1"/>
      <c r="R770" s="1"/>
    </row>
    <row r="771" spans="15:18" x14ac:dyDescent="0.2">
      <c r="O771" s="1"/>
      <c r="P771" s="1"/>
      <c r="Q771" s="1"/>
      <c r="R771" s="1"/>
    </row>
    <row r="772" spans="15:18" x14ac:dyDescent="0.2">
      <c r="O772" s="1"/>
      <c r="P772" s="1"/>
      <c r="Q772" s="1"/>
      <c r="R772" s="1"/>
    </row>
    <row r="773" spans="15:18" x14ac:dyDescent="0.2">
      <c r="O773" s="1"/>
      <c r="P773" s="1"/>
      <c r="Q773" s="1"/>
      <c r="R773" s="1"/>
    </row>
    <row r="774" spans="15:18" x14ac:dyDescent="0.2">
      <c r="O774" s="1"/>
      <c r="P774" s="1"/>
      <c r="Q774" s="1"/>
      <c r="R774" s="1"/>
    </row>
    <row r="775" spans="15:18" x14ac:dyDescent="0.2">
      <c r="O775" s="1"/>
      <c r="P775" s="1"/>
      <c r="Q775" s="1"/>
      <c r="R775" s="1"/>
    </row>
    <row r="776" spans="15:18" x14ac:dyDescent="0.2">
      <c r="O776" s="1"/>
      <c r="P776" s="1"/>
      <c r="Q776" s="1"/>
      <c r="R776" s="1"/>
    </row>
    <row r="777" spans="15:18" x14ac:dyDescent="0.2">
      <c r="O777" s="1"/>
      <c r="P777" s="1"/>
      <c r="Q777" s="1"/>
      <c r="R777" s="1"/>
    </row>
    <row r="778" spans="15:18" x14ac:dyDescent="0.2">
      <c r="O778" s="1"/>
      <c r="P778" s="1"/>
      <c r="Q778" s="1"/>
      <c r="R778" s="1"/>
    </row>
    <row r="779" spans="15:18" x14ac:dyDescent="0.2">
      <c r="O779" s="1"/>
      <c r="P779" s="1"/>
      <c r="Q779" s="1"/>
      <c r="R779" s="1"/>
    </row>
    <row r="780" spans="15:18" x14ac:dyDescent="0.2">
      <c r="O780" s="1"/>
      <c r="P780" s="1"/>
      <c r="Q780" s="1"/>
      <c r="R780" s="1"/>
    </row>
    <row r="781" spans="15:18" x14ac:dyDescent="0.2">
      <c r="O781" s="1"/>
      <c r="P781" s="1"/>
      <c r="Q781" s="1"/>
      <c r="R781" s="1"/>
    </row>
    <row r="782" spans="15:18" x14ac:dyDescent="0.2">
      <c r="O782" s="1"/>
      <c r="P782" s="1"/>
      <c r="Q782" s="1"/>
      <c r="R782" s="1"/>
    </row>
    <row r="783" spans="15:18" x14ac:dyDescent="0.2">
      <c r="O783" s="1"/>
      <c r="P783" s="1"/>
      <c r="Q783" s="1"/>
      <c r="R783" s="1"/>
    </row>
    <row r="784" spans="15:18" x14ac:dyDescent="0.2">
      <c r="O784" s="1"/>
      <c r="P784" s="1"/>
      <c r="Q784" s="1"/>
      <c r="R784" s="1"/>
    </row>
    <row r="785" spans="15:18" x14ac:dyDescent="0.2">
      <c r="O785" s="1"/>
      <c r="P785" s="1"/>
      <c r="Q785" s="1"/>
      <c r="R785" s="1"/>
    </row>
    <row r="786" spans="15:18" x14ac:dyDescent="0.2">
      <c r="O786" s="1"/>
      <c r="P786" s="1"/>
      <c r="Q786" s="1"/>
      <c r="R786" s="1"/>
    </row>
    <row r="787" spans="15:18" x14ac:dyDescent="0.2">
      <c r="O787" s="1"/>
      <c r="P787" s="1"/>
      <c r="Q787" s="1"/>
      <c r="R787" s="1"/>
    </row>
    <row r="788" spans="15:18" x14ac:dyDescent="0.2">
      <c r="O788" s="1"/>
      <c r="P788" s="1"/>
      <c r="Q788" s="1"/>
      <c r="R788" s="1"/>
    </row>
    <row r="789" spans="15:18" x14ac:dyDescent="0.2">
      <c r="O789" s="1"/>
      <c r="P789" s="1"/>
      <c r="Q789" s="1"/>
      <c r="R789" s="1"/>
    </row>
    <row r="790" spans="15:18" x14ac:dyDescent="0.2">
      <c r="O790" s="1"/>
      <c r="P790" s="1"/>
      <c r="Q790" s="1"/>
      <c r="R790" s="1"/>
    </row>
    <row r="791" spans="15:18" x14ac:dyDescent="0.2">
      <c r="O791" s="1"/>
      <c r="P791" s="1"/>
      <c r="Q791" s="1"/>
      <c r="R791" s="1"/>
    </row>
    <row r="792" spans="15:18" x14ac:dyDescent="0.2">
      <c r="O792" s="1"/>
      <c r="P792" s="1"/>
      <c r="Q792" s="1"/>
      <c r="R792" s="1"/>
    </row>
    <row r="793" spans="15:18" x14ac:dyDescent="0.2">
      <c r="O793" s="1"/>
      <c r="P793" s="1"/>
      <c r="Q793" s="1"/>
      <c r="R793" s="1"/>
    </row>
    <row r="794" spans="15:18" x14ac:dyDescent="0.2">
      <c r="O794" s="1"/>
      <c r="P794" s="1"/>
      <c r="Q794" s="1"/>
      <c r="R794" s="1"/>
    </row>
    <row r="795" spans="15:18" x14ac:dyDescent="0.2">
      <c r="O795" s="1"/>
      <c r="P795" s="1"/>
      <c r="Q795" s="1"/>
      <c r="R795" s="1"/>
    </row>
    <row r="796" spans="15:18" x14ac:dyDescent="0.2">
      <c r="O796" s="1"/>
      <c r="P796" s="1"/>
      <c r="Q796" s="1"/>
      <c r="R796" s="1"/>
    </row>
    <row r="797" spans="15:18" x14ac:dyDescent="0.2">
      <c r="O797" s="1"/>
      <c r="P797" s="1"/>
      <c r="Q797" s="1"/>
      <c r="R797" s="1"/>
    </row>
    <row r="798" spans="15:18" x14ac:dyDescent="0.2">
      <c r="O798" s="1"/>
      <c r="P798" s="1"/>
      <c r="Q798" s="1"/>
      <c r="R798" s="1"/>
    </row>
    <row r="799" spans="15:18" x14ac:dyDescent="0.2">
      <c r="O799" s="1"/>
      <c r="P799" s="1"/>
      <c r="Q799" s="1"/>
      <c r="R799" s="1"/>
    </row>
    <row r="800" spans="15:18" x14ac:dyDescent="0.2">
      <c r="O800" s="1"/>
      <c r="P800" s="1"/>
      <c r="Q800" s="1"/>
      <c r="R800" s="1"/>
    </row>
    <row r="801" spans="15:18" x14ac:dyDescent="0.2">
      <c r="O801" s="1"/>
      <c r="P801" s="1"/>
      <c r="Q801" s="1"/>
      <c r="R801" s="1"/>
    </row>
    <row r="802" spans="15:18" x14ac:dyDescent="0.2">
      <c r="O802" s="1"/>
      <c r="P802" s="1"/>
      <c r="Q802" s="1"/>
      <c r="R802" s="1"/>
    </row>
    <row r="803" spans="15:18" x14ac:dyDescent="0.2">
      <c r="O803" s="1"/>
      <c r="P803" s="1"/>
      <c r="Q803" s="1"/>
      <c r="R803" s="1"/>
    </row>
    <row r="804" spans="15:18" x14ac:dyDescent="0.2">
      <c r="O804" s="1"/>
      <c r="P804" s="1"/>
      <c r="Q804" s="1"/>
      <c r="R804" s="1"/>
    </row>
    <row r="805" spans="15:18" x14ac:dyDescent="0.2">
      <c r="O805" s="1"/>
      <c r="P805" s="1"/>
      <c r="Q805" s="1"/>
      <c r="R805" s="1"/>
    </row>
    <row r="806" spans="15:18" x14ac:dyDescent="0.2">
      <c r="O806" s="1"/>
      <c r="P806" s="1"/>
      <c r="Q806" s="1"/>
      <c r="R806" s="1"/>
    </row>
    <row r="807" spans="15:18" x14ac:dyDescent="0.2">
      <c r="O807" s="1"/>
      <c r="P807" s="1"/>
      <c r="Q807" s="1"/>
      <c r="R807" s="1"/>
    </row>
    <row r="808" spans="15:18" x14ac:dyDescent="0.2">
      <c r="O808" s="1"/>
      <c r="P808" s="1"/>
      <c r="Q808" s="1"/>
      <c r="R808" s="1"/>
    </row>
    <row r="809" spans="15:18" x14ac:dyDescent="0.2">
      <c r="O809" s="1"/>
      <c r="P809" s="1"/>
      <c r="Q809" s="1"/>
      <c r="R809" s="1"/>
    </row>
    <row r="810" spans="15:18" x14ac:dyDescent="0.2">
      <c r="O810" s="1"/>
      <c r="P810" s="1"/>
      <c r="Q810" s="1"/>
      <c r="R810" s="1"/>
    </row>
    <row r="811" spans="15:18" x14ac:dyDescent="0.2">
      <c r="O811" s="1"/>
      <c r="P811" s="1"/>
      <c r="Q811" s="1"/>
      <c r="R811" s="1"/>
    </row>
    <row r="812" spans="15:18" x14ac:dyDescent="0.2">
      <c r="O812" s="1"/>
      <c r="P812" s="1"/>
      <c r="Q812" s="1"/>
      <c r="R812" s="1"/>
    </row>
    <row r="813" spans="15:18" x14ac:dyDescent="0.2">
      <c r="O813" s="1"/>
      <c r="P813" s="1"/>
      <c r="Q813" s="1"/>
      <c r="R813" s="1"/>
    </row>
    <row r="814" spans="15:18" x14ac:dyDescent="0.2">
      <c r="O814" s="1"/>
      <c r="P814" s="1"/>
      <c r="Q814" s="1"/>
      <c r="R814" s="1"/>
    </row>
    <row r="815" spans="15:18" x14ac:dyDescent="0.2">
      <c r="O815" s="1"/>
      <c r="P815" s="1"/>
      <c r="Q815" s="1"/>
      <c r="R815" s="1"/>
    </row>
    <row r="816" spans="15:18" x14ac:dyDescent="0.2">
      <c r="O816" s="1"/>
      <c r="P816" s="1"/>
      <c r="Q816" s="1"/>
      <c r="R816" s="1"/>
    </row>
    <row r="817" spans="15:18" x14ac:dyDescent="0.2">
      <c r="O817" s="1"/>
      <c r="P817" s="1"/>
      <c r="Q817" s="1"/>
      <c r="R817" s="1"/>
    </row>
    <row r="818" spans="15:18" x14ac:dyDescent="0.2">
      <c r="O818" s="1"/>
      <c r="P818" s="1"/>
      <c r="Q818" s="1"/>
      <c r="R818" s="1"/>
    </row>
    <row r="819" spans="15:18" x14ac:dyDescent="0.2">
      <c r="O819" s="1"/>
      <c r="P819" s="1"/>
      <c r="Q819" s="1"/>
      <c r="R819" s="1"/>
    </row>
    <row r="820" spans="15:18" x14ac:dyDescent="0.2">
      <c r="O820" s="1"/>
      <c r="P820" s="1"/>
      <c r="Q820" s="1"/>
      <c r="R820" s="1"/>
    </row>
    <row r="821" spans="15:18" x14ac:dyDescent="0.2">
      <c r="O821" s="1"/>
      <c r="P821" s="1"/>
      <c r="Q821" s="1"/>
      <c r="R821" s="1"/>
    </row>
    <row r="822" spans="15:18" x14ac:dyDescent="0.2">
      <c r="O822" s="1"/>
      <c r="P822" s="1"/>
      <c r="Q822" s="1"/>
      <c r="R822" s="1"/>
    </row>
    <row r="823" spans="15:18" x14ac:dyDescent="0.2">
      <c r="O823" s="1"/>
      <c r="P823" s="1"/>
      <c r="Q823" s="1"/>
      <c r="R823" s="1"/>
    </row>
    <row r="824" spans="15:18" x14ac:dyDescent="0.2">
      <c r="O824" s="1"/>
      <c r="P824" s="1"/>
      <c r="Q824" s="1"/>
      <c r="R824" s="1"/>
    </row>
    <row r="825" spans="15:18" x14ac:dyDescent="0.2">
      <c r="O825" s="1"/>
      <c r="P825" s="1"/>
      <c r="Q825" s="1"/>
      <c r="R825" s="1"/>
    </row>
    <row r="826" spans="15:18" x14ac:dyDescent="0.2">
      <c r="O826" s="1"/>
      <c r="P826" s="1"/>
      <c r="Q826" s="1"/>
      <c r="R826" s="1"/>
    </row>
    <row r="827" spans="15:18" x14ac:dyDescent="0.2">
      <c r="O827" s="1"/>
      <c r="P827" s="1"/>
      <c r="Q827" s="1"/>
      <c r="R827" s="1"/>
    </row>
    <row r="828" spans="15:18" x14ac:dyDescent="0.2">
      <c r="O828" s="1"/>
      <c r="P828" s="1"/>
      <c r="Q828" s="1"/>
      <c r="R828" s="1"/>
    </row>
    <row r="829" spans="15:18" x14ac:dyDescent="0.2">
      <c r="O829" s="1"/>
      <c r="P829" s="1"/>
      <c r="Q829" s="1"/>
      <c r="R829" s="1"/>
    </row>
    <row r="830" spans="15:18" x14ac:dyDescent="0.2">
      <c r="O830" s="1"/>
      <c r="P830" s="1"/>
      <c r="Q830" s="1"/>
      <c r="R830" s="1"/>
    </row>
    <row r="831" spans="15:18" x14ac:dyDescent="0.2">
      <c r="O831" s="1"/>
      <c r="P831" s="1"/>
      <c r="Q831" s="1"/>
      <c r="R831" s="1"/>
    </row>
    <row r="832" spans="15:18" x14ac:dyDescent="0.2">
      <c r="O832" s="1"/>
      <c r="P832" s="1"/>
      <c r="Q832" s="1"/>
      <c r="R832" s="1"/>
    </row>
    <row r="833" spans="15:18" x14ac:dyDescent="0.2">
      <c r="O833" s="1"/>
      <c r="P833" s="1"/>
      <c r="Q833" s="1"/>
      <c r="R833" s="1"/>
    </row>
    <row r="834" spans="15:18" x14ac:dyDescent="0.2">
      <c r="O834" s="1"/>
      <c r="P834" s="1"/>
      <c r="Q834" s="1"/>
      <c r="R834" s="1"/>
    </row>
    <row r="835" spans="15:18" x14ac:dyDescent="0.2">
      <c r="O835" s="1"/>
      <c r="P835" s="1"/>
      <c r="Q835" s="1"/>
      <c r="R835" s="1"/>
    </row>
    <row r="836" spans="15:18" x14ac:dyDescent="0.2">
      <c r="O836" s="1"/>
      <c r="P836" s="1"/>
      <c r="Q836" s="1"/>
      <c r="R836" s="1"/>
    </row>
    <row r="837" spans="15:18" x14ac:dyDescent="0.2">
      <c r="O837" s="1"/>
      <c r="P837" s="1"/>
      <c r="Q837" s="1"/>
      <c r="R837" s="1"/>
    </row>
    <row r="838" spans="15:18" x14ac:dyDescent="0.2">
      <c r="O838" s="1"/>
      <c r="P838" s="1"/>
      <c r="Q838" s="1"/>
      <c r="R838" s="1"/>
    </row>
    <row r="839" spans="15:18" x14ac:dyDescent="0.2">
      <c r="O839" s="1"/>
      <c r="P839" s="1"/>
      <c r="Q839" s="1"/>
      <c r="R839" s="1"/>
    </row>
    <row r="840" spans="15:18" x14ac:dyDescent="0.2">
      <c r="O840" s="1"/>
      <c r="P840" s="1"/>
      <c r="Q840" s="1"/>
      <c r="R840" s="1"/>
    </row>
    <row r="841" spans="15:18" x14ac:dyDescent="0.2">
      <c r="O841" s="1"/>
      <c r="P841" s="1"/>
      <c r="Q841" s="1"/>
      <c r="R841" s="1"/>
    </row>
    <row r="842" spans="15:18" x14ac:dyDescent="0.2">
      <c r="O842" s="1"/>
      <c r="P842" s="1"/>
      <c r="Q842" s="1"/>
      <c r="R842" s="1"/>
    </row>
    <row r="843" spans="15:18" x14ac:dyDescent="0.2">
      <c r="O843" s="1"/>
      <c r="P843" s="1"/>
      <c r="Q843" s="1"/>
      <c r="R843" s="1"/>
    </row>
    <row r="844" spans="15:18" x14ac:dyDescent="0.2">
      <c r="O844" s="1"/>
      <c r="P844" s="1"/>
      <c r="Q844" s="1"/>
      <c r="R844" s="1"/>
    </row>
    <row r="845" spans="15:18" x14ac:dyDescent="0.2">
      <c r="O845" s="1"/>
      <c r="P845" s="1"/>
      <c r="Q845" s="1"/>
      <c r="R845" s="1"/>
    </row>
    <row r="846" spans="15:18" x14ac:dyDescent="0.2">
      <c r="O846" s="1"/>
      <c r="P846" s="1"/>
      <c r="Q846" s="1"/>
      <c r="R846" s="1"/>
    </row>
    <row r="847" spans="15:18" x14ac:dyDescent="0.2">
      <c r="O847" s="1"/>
      <c r="P847" s="1"/>
      <c r="Q847" s="1"/>
      <c r="R847" s="1"/>
    </row>
    <row r="848" spans="15:18" x14ac:dyDescent="0.2">
      <c r="O848" s="1"/>
      <c r="P848" s="1"/>
      <c r="Q848" s="1"/>
      <c r="R848" s="1"/>
    </row>
    <row r="849" spans="15:18" x14ac:dyDescent="0.2">
      <c r="O849" s="1"/>
      <c r="P849" s="1"/>
      <c r="Q849" s="1"/>
      <c r="R849" s="1"/>
    </row>
    <row r="850" spans="15:18" x14ac:dyDescent="0.2">
      <c r="O850" s="1"/>
      <c r="P850" s="1"/>
      <c r="Q850" s="1"/>
      <c r="R850" s="1"/>
    </row>
    <row r="851" spans="15:18" x14ac:dyDescent="0.2">
      <c r="O851" s="1"/>
      <c r="P851" s="1"/>
      <c r="Q851" s="1"/>
      <c r="R851" s="1"/>
    </row>
    <row r="852" spans="15:18" x14ac:dyDescent="0.2">
      <c r="O852" s="1"/>
      <c r="P852" s="1"/>
      <c r="Q852" s="1"/>
      <c r="R852" s="1"/>
    </row>
    <row r="853" spans="15:18" x14ac:dyDescent="0.2">
      <c r="O853" s="1"/>
      <c r="P853" s="1"/>
      <c r="Q853" s="1"/>
      <c r="R853" s="1"/>
    </row>
    <row r="854" spans="15:18" x14ac:dyDescent="0.2">
      <c r="O854" s="1"/>
      <c r="P854" s="1"/>
      <c r="Q854" s="1"/>
      <c r="R854" s="1"/>
    </row>
    <row r="855" spans="15:18" x14ac:dyDescent="0.2">
      <c r="O855" s="1"/>
      <c r="P855" s="1"/>
      <c r="Q855" s="1"/>
      <c r="R855" s="1"/>
    </row>
    <row r="856" spans="15:18" x14ac:dyDescent="0.2">
      <c r="O856" s="1"/>
      <c r="P856" s="1"/>
      <c r="Q856" s="1"/>
      <c r="R856" s="1"/>
    </row>
    <row r="857" spans="15:18" x14ac:dyDescent="0.2">
      <c r="O857" s="1"/>
      <c r="P857" s="1"/>
      <c r="Q857" s="1"/>
      <c r="R857" s="1"/>
    </row>
    <row r="858" spans="15:18" x14ac:dyDescent="0.2">
      <c r="O858" s="1"/>
      <c r="P858" s="1"/>
      <c r="Q858" s="1"/>
      <c r="R858" s="1"/>
    </row>
    <row r="859" spans="15:18" x14ac:dyDescent="0.2">
      <c r="O859" s="1"/>
      <c r="P859" s="1"/>
      <c r="Q859" s="1"/>
      <c r="R859" s="1"/>
    </row>
    <row r="860" spans="15:18" x14ac:dyDescent="0.2">
      <c r="O860" s="1"/>
      <c r="P860" s="1"/>
      <c r="Q860" s="1"/>
      <c r="R860" s="1"/>
    </row>
    <row r="861" spans="15:18" x14ac:dyDescent="0.2">
      <c r="O861" s="1"/>
      <c r="P861" s="1"/>
      <c r="Q861" s="1"/>
      <c r="R861" s="1"/>
    </row>
    <row r="862" spans="15:18" x14ac:dyDescent="0.2">
      <c r="O862" s="1"/>
      <c r="P862" s="1"/>
      <c r="Q862" s="1"/>
      <c r="R862" s="1"/>
    </row>
    <row r="863" spans="15:18" x14ac:dyDescent="0.2">
      <c r="O863" s="1"/>
      <c r="P863" s="1"/>
      <c r="Q863" s="1"/>
      <c r="R863" s="1"/>
    </row>
    <row r="864" spans="15:18" x14ac:dyDescent="0.2">
      <c r="O864" s="1"/>
      <c r="P864" s="1"/>
      <c r="Q864" s="1"/>
      <c r="R864" s="1"/>
    </row>
    <row r="865" spans="15:18" x14ac:dyDescent="0.2">
      <c r="O865" s="1"/>
      <c r="P865" s="1"/>
      <c r="Q865" s="1"/>
      <c r="R865" s="1"/>
    </row>
    <row r="866" spans="15:18" x14ac:dyDescent="0.2">
      <c r="O866" s="1"/>
      <c r="P866" s="1"/>
      <c r="Q866" s="1"/>
      <c r="R866" s="1"/>
    </row>
    <row r="867" spans="15:18" x14ac:dyDescent="0.2">
      <c r="O867" s="1"/>
      <c r="P867" s="1"/>
      <c r="Q867" s="1"/>
      <c r="R867" s="1"/>
    </row>
    <row r="868" spans="15:18" x14ac:dyDescent="0.2">
      <c r="O868" s="1"/>
      <c r="P868" s="1"/>
      <c r="Q868" s="1"/>
      <c r="R868" s="1"/>
    </row>
    <row r="869" spans="15:18" x14ac:dyDescent="0.2">
      <c r="O869" s="1"/>
      <c r="P869" s="1"/>
      <c r="Q869" s="1"/>
      <c r="R869" s="1"/>
    </row>
    <row r="870" spans="15:18" x14ac:dyDescent="0.2">
      <c r="O870" s="1"/>
      <c r="P870" s="1"/>
      <c r="Q870" s="1"/>
      <c r="R870" s="1"/>
    </row>
    <row r="871" spans="15:18" x14ac:dyDescent="0.2">
      <c r="O871" s="1"/>
      <c r="P871" s="1"/>
      <c r="Q871" s="1"/>
      <c r="R871" s="1"/>
    </row>
    <row r="872" spans="15:18" x14ac:dyDescent="0.2">
      <c r="O872" s="1"/>
      <c r="P872" s="1"/>
      <c r="Q872" s="1"/>
      <c r="R872" s="1"/>
    </row>
    <row r="873" spans="15:18" x14ac:dyDescent="0.2">
      <c r="O873" s="1"/>
      <c r="P873" s="1"/>
      <c r="Q873" s="1"/>
      <c r="R873" s="1"/>
    </row>
    <row r="874" spans="15:18" x14ac:dyDescent="0.2">
      <c r="O874" s="1"/>
      <c r="P874" s="1"/>
      <c r="Q874" s="1"/>
      <c r="R874" s="1"/>
    </row>
    <row r="875" spans="15:18" x14ac:dyDescent="0.2">
      <c r="O875" s="1"/>
      <c r="P875" s="1"/>
      <c r="Q875" s="1"/>
      <c r="R875" s="1"/>
    </row>
    <row r="876" spans="15:18" x14ac:dyDescent="0.2">
      <c r="O876" s="1"/>
      <c r="P876" s="1"/>
      <c r="Q876" s="1"/>
      <c r="R876" s="1"/>
    </row>
    <row r="877" spans="15:18" x14ac:dyDescent="0.2">
      <c r="O877" s="1"/>
      <c r="P877" s="1"/>
      <c r="Q877" s="1"/>
      <c r="R877" s="1"/>
    </row>
    <row r="878" spans="15:18" x14ac:dyDescent="0.2">
      <c r="O878" s="1"/>
      <c r="P878" s="1"/>
      <c r="Q878" s="1"/>
      <c r="R878" s="1"/>
    </row>
    <row r="879" spans="15:18" x14ac:dyDescent="0.2">
      <c r="O879" s="1"/>
      <c r="P879" s="1"/>
      <c r="Q879" s="1"/>
      <c r="R879" s="1"/>
    </row>
    <row r="880" spans="15:18" x14ac:dyDescent="0.2">
      <c r="O880" s="1"/>
      <c r="P880" s="1"/>
      <c r="Q880" s="1"/>
      <c r="R880" s="1"/>
    </row>
    <row r="881" spans="15:18" x14ac:dyDescent="0.2">
      <c r="O881" s="1"/>
      <c r="P881" s="1"/>
      <c r="Q881" s="1"/>
      <c r="R881" s="1"/>
    </row>
    <row r="882" spans="15:18" x14ac:dyDescent="0.2">
      <c r="O882" s="1"/>
      <c r="P882" s="1"/>
      <c r="Q882" s="1"/>
      <c r="R882" s="1"/>
    </row>
    <row r="883" spans="15:18" x14ac:dyDescent="0.2">
      <c r="O883" s="1"/>
      <c r="P883" s="1"/>
      <c r="Q883" s="1"/>
      <c r="R883" s="1"/>
    </row>
    <row r="884" spans="15:18" x14ac:dyDescent="0.2">
      <c r="O884" s="1"/>
      <c r="P884" s="1"/>
      <c r="Q884" s="1"/>
      <c r="R884" s="1"/>
    </row>
    <row r="885" spans="15:18" x14ac:dyDescent="0.2">
      <c r="O885" s="1"/>
      <c r="P885" s="1"/>
      <c r="Q885" s="1"/>
      <c r="R885" s="1"/>
    </row>
    <row r="886" spans="15:18" x14ac:dyDescent="0.2">
      <c r="O886" s="1"/>
      <c r="P886" s="1"/>
      <c r="Q886" s="1"/>
      <c r="R886" s="1"/>
    </row>
    <row r="887" spans="15:18" x14ac:dyDescent="0.2">
      <c r="O887" s="1"/>
      <c r="P887" s="1"/>
      <c r="Q887" s="1"/>
      <c r="R887" s="1"/>
    </row>
    <row r="888" spans="15:18" x14ac:dyDescent="0.2">
      <c r="O888" s="1"/>
      <c r="P888" s="1"/>
      <c r="Q888" s="1"/>
      <c r="R888" s="1"/>
    </row>
    <row r="889" spans="15:18" x14ac:dyDescent="0.2">
      <c r="O889" s="1"/>
      <c r="P889" s="1"/>
      <c r="Q889" s="1"/>
      <c r="R889" s="1"/>
    </row>
    <row r="890" spans="15:18" x14ac:dyDescent="0.2">
      <c r="O890" s="1"/>
      <c r="P890" s="1"/>
      <c r="Q890" s="1"/>
      <c r="R890" s="1"/>
    </row>
    <row r="891" spans="15:18" x14ac:dyDescent="0.2">
      <c r="O891" s="1"/>
      <c r="P891" s="1"/>
      <c r="Q891" s="1"/>
      <c r="R891" s="1"/>
    </row>
    <row r="892" spans="15:18" x14ac:dyDescent="0.2">
      <c r="O892" s="1"/>
      <c r="P892" s="1"/>
      <c r="Q892" s="1"/>
      <c r="R892" s="1"/>
    </row>
    <row r="893" spans="15:18" x14ac:dyDescent="0.2">
      <c r="O893" s="1"/>
      <c r="P893" s="1"/>
      <c r="Q893" s="1"/>
      <c r="R893" s="1"/>
    </row>
    <row r="894" spans="15:18" x14ac:dyDescent="0.2">
      <c r="O894" s="1"/>
      <c r="P894" s="1"/>
      <c r="Q894" s="1"/>
      <c r="R894" s="1"/>
    </row>
    <row r="895" spans="15:18" x14ac:dyDescent="0.2">
      <c r="O895" s="1"/>
      <c r="P895" s="1"/>
      <c r="Q895" s="1"/>
      <c r="R895" s="1"/>
    </row>
    <row r="896" spans="15:18" x14ac:dyDescent="0.2">
      <c r="O896" s="1"/>
      <c r="P896" s="1"/>
      <c r="Q896" s="1"/>
      <c r="R896" s="1"/>
    </row>
    <row r="897" spans="15:18" x14ac:dyDescent="0.2">
      <c r="O897" s="1"/>
      <c r="P897" s="1"/>
      <c r="Q897" s="1"/>
      <c r="R897" s="1"/>
    </row>
    <row r="898" spans="15:18" x14ac:dyDescent="0.2">
      <c r="O898" s="1"/>
      <c r="P898" s="1"/>
      <c r="Q898" s="1"/>
      <c r="R898" s="1"/>
    </row>
    <row r="899" spans="15:18" x14ac:dyDescent="0.2">
      <c r="O899" s="1"/>
      <c r="P899" s="1"/>
      <c r="Q899" s="1"/>
      <c r="R899" s="1"/>
    </row>
    <row r="900" spans="15:18" x14ac:dyDescent="0.2">
      <c r="O900" s="1"/>
      <c r="P900" s="1"/>
      <c r="Q900" s="1"/>
      <c r="R900" s="1"/>
    </row>
    <row r="901" spans="15:18" x14ac:dyDescent="0.2">
      <c r="O901" s="1"/>
      <c r="P901" s="1"/>
      <c r="Q901" s="1"/>
      <c r="R901" s="1"/>
    </row>
    <row r="902" spans="15:18" x14ac:dyDescent="0.2">
      <c r="O902" s="1"/>
      <c r="P902" s="1"/>
      <c r="Q902" s="1"/>
      <c r="R902" s="1"/>
    </row>
    <row r="903" spans="15:18" x14ac:dyDescent="0.2">
      <c r="O903" s="1"/>
      <c r="P903" s="1"/>
      <c r="Q903" s="1"/>
      <c r="R903" s="1"/>
    </row>
    <row r="904" spans="15:18" x14ac:dyDescent="0.2">
      <c r="O904" s="1"/>
      <c r="P904" s="1"/>
      <c r="Q904" s="1"/>
      <c r="R904" s="1"/>
    </row>
    <row r="905" spans="15:18" x14ac:dyDescent="0.2">
      <c r="O905" s="1"/>
      <c r="P905" s="1"/>
      <c r="Q905" s="1"/>
      <c r="R905" s="1"/>
    </row>
    <row r="906" spans="15:18" x14ac:dyDescent="0.2">
      <c r="O906" s="1"/>
      <c r="P906" s="1"/>
      <c r="Q906" s="1"/>
      <c r="R906" s="1"/>
    </row>
    <row r="907" spans="15:18" x14ac:dyDescent="0.2">
      <c r="O907" s="1"/>
      <c r="P907" s="1"/>
      <c r="Q907" s="1"/>
      <c r="R907" s="1"/>
    </row>
    <row r="908" spans="15:18" x14ac:dyDescent="0.2">
      <c r="O908" s="1"/>
      <c r="P908" s="1"/>
      <c r="Q908" s="1"/>
      <c r="R908" s="1"/>
    </row>
    <row r="909" spans="15:18" x14ac:dyDescent="0.2">
      <c r="O909" s="1"/>
      <c r="P909" s="1"/>
      <c r="Q909" s="1"/>
      <c r="R909" s="1"/>
    </row>
    <row r="910" spans="15:18" x14ac:dyDescent="0.2">
      <c r="O910" s="1"/>
      <c r="P910" s="1"/>
      <c r="Q910" s="1"/>
      <c r="R910" s="1"/>
    </row>
    <row r="911" spans="15:18" x14ac:dyDescent="0.2">
      <c r="O911" s="1"/>
      <c r="P911" s="1"/>
      <c r="Q911" s="1"/>
      <c r="R911" s="1"/>
    </row>
    <row r="912" spans="15:18" x14ac:dyDescent="0.2">
      <c r="O912" s="1"/>
      <c r="P912" s="1"/>
      <c r="Q912" s="1"/>
      <c r="R912" s="1"/>
    </row>
    <row r="913" spans="15:18" x14ac:dyDescent="0.2">
      <c r="O913" s="1"/>
      <c r="P913" s="1"/>
      <c r="Q913" s="1"/>
      <c r="R913" s="1"/>
    </row>
    <row r="914" spans="15:18" x14ac:dyDescent="0.2">
      <c r="O914" s="1"/>
      <c r="P914" s="1"/>
      <c r="Q914" s="1"/>
      <c r="R914" s="1"/>
    </row>
    <row r="915" spans="15:18" x14ac:dyDescent="0.2">
      <c r="O915" s="1"/>
      <c r="P915" s="1"/>
      <c r="Q915" s="1"/>
      <c r="R915" s="1"/>
    </row>
    <row r="916" spans="15:18" x14ac:dyDescent="0.2">
      <c r="O916" s="1"/>
      <c r="P916" s="1"/>
      <c r="Q916" s="1"/>
      <c r="R916" s="1"/>
    </row>
    <row r="917" spans="15:18" x14ac:dyDescent="0.2">
      <c r="O917" s="1"/>
      <c r="P917" s="1"/>
      <c r="Q917" s="1"/>
      <c r="R917" s="1"/>
    </row>
    <row r="918" spans="15:18" x14ac:dyDescent="0.2">
      <c r="O918" s="1"/>
      <c r="P918" s="1"/>
      <c r="Q918" s="1"/>
      <c r="R918" s="1"/>
    </row>
    <row r="919" spans="15:18" x14ac:dyDescent="0.2">
      <c r="O919" s="1"/>
      <c r="P919" s="1"/>
      <c r="Q919" s="1"/>
      <c r="R919" s="1"/>
    </row>
    <row r="920" spans="15:18" x14ac:dyDescent="0.2">
      <c r="O920" s="1"/>
      <c r="P920" s="1"/>
      <c r="Q920" s="1"/>
      <c r="R920" s="1"/>
    </row>
    <row r="921" spans="15:18" x14ac:dyDescent="0.2">
      <c r="O921" s="1"/>
      <c r="P921" s="1"/>
      <c r="Q921" s="1"/>
      <c r="R921" s="1"/>
    </row>
    <row r="922" spans="15:18" x14ac:dyDescent="0.2">
      <c r="O922" s="1"/>
      <c r="P922" s="1"/>
      <c r="Q922" s="1"/>
      <c r="R922" s="1"/>
    </row>
    <row r="923" spans="15:18" x14ac:dyDescent="0.2">
      <c r="O923" s="1"/>
      <c r="P923" s="1"/>
      <c r="Q923" s="1"/>
      <c r="R923" s="1"/>
    </row>
    <row r="924" spans="15:18" x14ac:dyDescent="0.2">
      <c r="O924" s="1"/>
      <c r="P924" s="1"/>
      <c r="Q924" s="1"/>
      <c r="R924" s="1"/>
    </row>
    <row r="925" spans="15:18" x14ac:dyDescent="0.2">
      <c r="O925" s="1"/>
      <c r="P925" s="1"/>
      <c r="Q925" s="1"/>
      <c r="R925" s="1"/>
    </row>
    <row r="926" spans="15:18" x14ac:dyDescent="0.2">
      <c r="O926" s="1"/>
      <c r="P926" s="1"/>
      <c r="Q926" s="1"/>
      <c r="R926" s="1"/>
    </row>
    <row r="927" spans="15:18" x14ac:dyDescent="0.2">
      <c r="O927" s="1"/>
      <c r="P927" s="1"/>
      <c r="Q927" s="1"/>
      <c r="R927" s="1"/>
    </row>
    <row r="928" spans="15:18" x14ac:dyDescent="0.2">
      <c r="O928" s="1"/>
      <c r="P928" s="1"/>
      <c r="Q928" s="1"/>
      <c r="R928" s="1"/>
    </row>
    <row r="929" spans="15:18" x14ac:dyDescent="0.2">
      <c r="O929" s="1"/>
      <c r="P929" s="1"/>
      <c r="Q929" s="1"/>
      <c r="R929" s="1"/>
    </row>
    <row r="930" spans="15:18" x14ac:dyDescent="0.2">
      <c r="O930" s="1"/>
      <c r="P930" s="1"/>
      <c r="Q930" s="1"/>
      <c r="R930" s="1"/>
    </row>
    <row r="931" spans="15:18" x14ac:dyDescent="0.2">
      <c r="O931" s="1"/>
      <c r="P931" s="1"/>
      <c r="Q931" s="1"/>
      <c r="R931" s="1"/>
    </row>
    <row r="932" spans="15:18" x14ac:dyDescent="0.2">
      <c r="O932" s="1"/>
      <c r="P932" s="1"/>
      <c r="Q932" s="1"/>
      <c r="R932" s="1"/>
    </row>
    <row r="933" spans="15:18" x14ac:dyDescent="0.2">
      <c r="O933" s="1"/>
      <c r="P933" s="1"/>
      <c r="Q933" s="1"/>
      <c r="R933" s="1"/>
    </row>
    <row r="934" spans="15:18" x14ac:dyDescent="0.2">
      <c r="O934" s="1"/>
      <c r="P934" s="1"/>
      <c r="Q934" s="1"/>
      <c r="R934" s="1"/>
    </row>
    <row r="935" spans="15:18" x14ac:dyDescent="0.2">
      <c r="O935" s="1"/>
      <c r="P935" s="1"/>
      <c r="Q935" s="1"/>
      <c r="R935" s="1"/>
    </row>
    <row r="936" spans="15:18" x14ac:dyDescent="0.2">
      <c r="O936" s="1"/>
      <c r="P936" s="1"/>
      <c r="Q936" s="1"/>
      <c r="R936" s="1"/>
    </row>
    <row r="937" spans="15:18" x14ac:dyDescent="0.2">
      <c r="O937" s="1"/>
      <c r="P937" s="1"/>
      <c r="Q937" s="1"/>
      <c r="R937" s="1"/>
    </row>
    <row r="938" spans="15:18" x14ac:dyDescent="0.2">
      <c r="O938" s="1"/>
      <c r="P938" s="1"/>
      <c r="Q938" s="1"/>
      <c r="R938" s="1"/>
    </row>
    <row r="939" spans="15:18" x14ac:dyDescent="0.2">
      <c r="O939" s="1"/>
      <c r="P939" s="1"/>
      <c r="Q939" s="1"/>
      <c r="R939" s="1"/>
    </row>
    <row r="940" spans="15:18" x14ac:dyDescent="0.2">
      <c r="O940" s="1"/>
      <c r="P940" s="1"/>
      <c r="Q940" s="1"/>
      <c r="R940" s="1"/>
    </row>
    <row r="941" spans="15:18" x14ac:dyDescent="0.2">
      <c r="O941" s="1"/>
      <c r="P941" s="1"/>
      <c r="Q941" s="1"/>
      <c r="R941" s="1"/>
    </row>
    <row r="942" spans="15:18" x14ac:dyDescent="0.2">
      <c r="O942" s="1"/>
      <c r="P942" s="1"/>
      <c r="Q942" s="1"/>
      <c r="R942" s="1"/>
    </row>
    <row r="943" spans="15:18" x14ac:dyDescent="0.2">
      <c r="O943" s="1"/>
      <c r="P943" s="1"/>
      <c r="Q943" s="1"/>
      <c r="R943" s="1"/>
    </row>
    <row r="944" spans="15:18" x14ac:dyDescent="0.2">
      <c r="O944" s="1"/>
      <c r="P944" s="1"/>
      <c r="Q944" s="1"/>
      <c r="R944" s="1"/>
    </row>
    <row r="945" spans="15:18" x14ac:dyDescent="0.2">
      <c r="O945" s="1"/>
      <c r="P945" s="1"/>
      <c r="Q945" s="1"/>
      <c r="R945" s="1"/>
    </row>
    <row r="946" spans="15:18" x14ac:dyDescent="0.2">
      <c r="O946" s="1"/>
      <c r="P946" s="1"/>
      <c r="Q946" s="1"/>
      <c r="R946" s="1"/>
    </row>
    <row r="947" spans="15:18" x14ac:dyDescent="0.2">
      <c r="O947" s="1"/>
      <c r="P947" s="1"/>
      <c r="Q947" s="1"/>
      <c r="R947" s="1"/>
    </row>
    <row r="948" spans="15:18" x14ac:dyDescent="0.2">
      <c r="O948" s="1"/>
      <c r="P948" s="1"/>
      <c r="Q948" s="1"/>
      <c r="R948" s="1"/>
    </row>
    <row r="949" spans="15:18" x14ac:dyDescent="0.2">
      <c r="O949" s="1"/>
      <c r="P949" s="1"/>
      <c r="Q949" s="1"/>
      <c r="R949" s="1"/>
    </row>
    <row r="950" spans="15:18" x14ac:dyDescent="0.2">
      <c r="O950" s="1"/>
      <c r="P950" s="1"/>
      <c r="Q950" s="1"/>
      <c r="R950" s="1"/>
    </row>
    <row r="951" spans="15:18" x14ac:dyDescent="0.2">
      <c r="O951" s="1"/>
      <c r="P951" s="1"/>
      <c r="Q951" s="1"/>
      <c r="R951" s="1"/>
    </row>
    <row r="952" spans="15:18" x14ac:dyDescent="0.2">
      <c r="O952" s="1"/>
      <c r="P952" s="1"/>
      <c r="Q952" s="1"/>
      <c r="R952" s="1"/>
    </row>
    <row r="953" spans="15:18" x14ac:dyDescent="0.2">
      <c r="O953" s="1"/>
      <c r="P953" s="1"/>
      <c r="Q953" s="1"/>
      <c r="R953" s="1"/>
    </row>
    <row r="954" spans="15:18" x14ac:dyDescent="0.2">
      <c r="O954" s="1"/>
      <c r="P954" s="1"/>
      <c r="Q954" s="1"/>
      <c r="R954" s="1"/>
    </row>
    <row r="955" spans="15:18" x14ac:dyDescent="0.2">
      <c r="O955" s="1"/>
      <c r="P955" s="1"/>
      <c r="Q955" s="1"/>
      <c r="R955" s="1"/>
    </row>
    <row r="956" spans="15:18" x14ac:dyDescent="0.2">
      <c r="O956" s="1"/>
      <c r="P956" s="1"/>
      <c r="Q956" s="1"/>
      <c r="R956" s="1"/>
    </row>
    <row r="957" spans="15:18" x14ac:dyDescent="0.2">
      <c r="O957" s="1"/>
      <c r="P957" s="1"/>
      <c r="Q957" s="1"/>
      <c r="R957" s="1"/>
    </row>
    <row r="958" spans="15:18" x14ac:dyDescent="0.2">
      <c r="O958" s="1"/>
      <c r="P958" s="1"/>
      <c r="Q958" s="1"/>
      <c r="R958" s="1"/>
    </row>
    <row r="959" spans="15:18" x14ac:dyDescent="0.2">
      <c r="O959" s="1"/>
      <c r="P959" s="1"/>
      <c r="Q959" s="1"/>
      <c r="R959" s="1"/>
    </row>
    <row r="960" spans="15:18" x14ac:dyDescent="0.2">
      <c r="O960" s="1"/>
      <c r="P960" s="1"/>
      <c r="Q960" s="1"/>
      <c r="R960" s="1"/>
    </row>
    <row r="961" spans="15:18" x14ac:dyDescent="0.2">
      <c r="O961" s="1"/>
      <c r="P961" s="1"/>
      <c r="Q961" s="1"/>
      <c r="R961" s="1"/>
    </row>
    <row r="962" spans="15:18" x14ac:dyDescent="0.2">
      <c r="O962" s="1"/>
      <c r="P962" s="1"/>
      <c r="Q962" s="1"/>
      <c r="R962" s="1"/>
    </row>
    <row r="963" spans="15:18" x14ac:dyDescent="0.2">
      <c r="O963" s="1"/>
      <c r="P963" s="1"/>
      <c r="Q963" s="1"/>
      <c r="R963" s="1"/>
    </row>
    <row r="964" spans="15:18" x14ac:dyDescent="0.2">
      <c r="O964" s="1"/>
      <c r="P964" s="1"/>
      <c r="Q964" s="1"/>
      <c r="R964" s="1"/>
    </row>
    <row r="965" spans="15:18" x14ac:dyDescent="0.2">
      <c r="O965" s="1"/>
      <c r="P965" s="1"/>
      <c r="Q965" s="1"/>
      <c r="R965" s="1"/>
    </row>
    <row r="966" spans="15:18" x14ac:dyDescent="0.2">
      <c r="O966" s="1"/>
      <c r="P966" s="1"/>
      <c r="Q966" s="1"/>
      <c r="R966" s="1"/>
    </row>
    <row r="967" spans="15:18" x14ac:dyDescent="0.2">
      <c r="O967" s="1"/>
      <c r="P967" s="1"/>
      <c r="Q967" s="1"/>
      <c r="R967" s="1"/>
    </row>
    <row r="968" spans="15:18" x14ac:dyDescent="0.2">
      <c r="O968" s="1"/>
      <c r="P968" s="1"/>
      <c r="Q968" s="1"/>
      <c r="R968" s="1"/>
    </row>
    <row r="969" spans="15:18" x14ac:dyDescent="0.2">
      <c r="O969" s="1"/>
      <c r="P969" s="1"/>
      <c r="Q969" s="1"/>
      <c r="R969" s="1"/>
    </row>
    <row r="970" spans="15:18" x14ac:dyDescent="0.2">
      <c r="O970" s="1"/>
      <c r="P970" s="1"/>
      <c r="Q970" s="1"/>
      <c r="R970" s="1"/>
    </row>
    <row r="971" spans="15:18" x14ac:dyDescent="0.2">
      <c r="O971" s="1"/>
      <c r="P971" s="1"/>
      <c r="Q971" s="1"/>
      <c r="R971" s="1"/>
    </row>
    <row r="972" spans="15:18" x14ac:dyDescent="0.2">
      <c r="O972" s="1"/>
      <c r="P972" s="1"/>
      <c r="Q972" s="1"/>
      <c r="R972" s="1"/>
    </row>
    <row r="973" spans="15:18" x14ac:dyDescent="0.2">
      <c r="O973" s="1"/>
      <c r="P973" s="1"/>
      <c r="Q973" s="1"/>
      <c r="R973" s="1"/>
    </row>
    <row r="974" spans="15:18" x14ac:dyDescent="0.2">
      <c r="O974" s="1"/>
      <c r="P974" s="1"/>
      <c r="Q974" s="1"/>
      <c r="R974" s="1"/>
    </row>
    <row r="975" spans="15:18" x14ac:dyDescent="0.2">
      <c r="O975" s="1"/>
      <c r="P975" s="1"/>
      <c r="Q975" s="1"/>
      <c r="R975" s="1"/>
    </row>
    <row r="976" spans="15:18" x14ac:dyDescent="0.2">
      <c r="O976" s="1"/>
      <c r="P976" s="1"/>
      <c r="Q976" s="1"/>
      <c r="R976" s="1"/>
    </row>
    <row r="977" spans="15:18" x14ac:dyDescent="0.2">
      <c r="O977" s="1"/>
      <c r="P977" s="1"/>
      <c r="Q977" s="1"/>
      <c r="R977" s="1"/>
    </row>
    <row r="978" spans="15:18" x14ac:dyDescent="0.2">
      <c r="O978" s="1"/>
      <c r="P978" s="1"/>
      <c r="Q978" s="1"/>
      <c r="R978" s="1"/>
    </row>
    <row r="979" spans="15:18" x14ac:dyDescent="0.2">
      <c r="O979" s="1"/>
      <c r="P979" s="1"/>
      <c r="Q979" s="1"/>
      <c r="R979" s="1"/>
    </row>
    <row r="980" spans="15:18" x14ac:dyDescent="0.2">
      <c r="O980" s="1"/>
      <c r="P980" s="1"/>
      <c r="Q980" s="1"/>
      <c r="R980" s="1"/>
    </row>
    <row r="981" spans="15:18" x14ac:dyDescent="0.2">
      <c r="O981" s="1"/>
      <c r="P981" s="1"/>
      <c r="Q981" s="1"/>
      <c r="R981" s="1"/>
    </row>
    <row r="982" spans="15:18" x14ac:dyDescent="0.2">
      <c r="O982" s="1"/>
      <c r="P982" s="1"/>
      <c r="Q982" s="1"/>
      <c r="R982" s="1"/>
    </row>
    <row r="983" spans="15:18" x14ac:dyDescent="0.2">
      <c r="O983" s="1"/>
      <c r="P983" s="1"/>
      <c r="Q983" s="1"/>
      <c r="R983" s="1"/>
    </row>
    <row r="984" spans="15:18" x14ac:dyDescent="0.2">
      <c r="O984" s="1"/>
      <c r="P984" s="1"/>
      <c r="Q984" s="1"/>
      <c r="R984" s="1"/>
    </row>
    <row r="985" spans="15:18" x14ac:dyDescent="0.2">
      <c r="O985" s="1"/>
      <c r="P985" s="1"/>
      <c r="Q985" s="1"/>
      <c r="R985" s="1"/>
    </row>
    <row r="986" spans="15:18" x14ac:dyDescent="0.2">
      <c r="O986" s="1"/>
      <c r="P986" s="1"/>
      <c r="Q986" s="1"/>
      <c r="R986" s="1"/>
    </row>
    <row r="987" spans="15:18" x14ac:dyDescent="0.2">
      <c r="O987" s="1"/>
      <c r="P987" s="1"/>
      <c r="Q987" s="1"/>
      <c r="R987" s="1"/>
    </row>
    <row r="988" spans="15:18" x14ac:dyDescent="0.2">
      <c r="O988" s="1"/>
      <c r="P988" s="1"/>
      <c r="Q988" s="1"/>
      <c r="R988" s="1"/>
    </row>
    <row r="989" spans="15:18" x14ac:dyDescent="0.2">
      <c r="O989" s="1"/>
      <c r="P989" s="1"/>
      <c r="Q989" s="1"/>
      <c r="R989" s="1"/>
    </row>
    <row r="990" spans="15:18" x14ac:dyDescent="0.2">
      <c r="O990" s="1"/>
      <c r="P990" s="1"/>
      <c r="Q990" s="1"/>
      <c r="R990" s="1"/>
    </row>
    <row r="991" spans="15:18" x14ac:dyDescent="0.2">
      <c r="O991" s="1"/>
      <c r="P991" s="1"/>
      <c r="Q991" s="1"/>
      <c r="R991" s="1"/>
    </row>
    <row r="992" spans="15:18" x14ac:dyDescent="0.2">
      <c r="O992" s="1"/>
      <c r="P992" s="1"/>
      <c r="Q992" s="1"/>
      <c r="R992" s="1"/>
    </row>
    <row r="993" spans="15:18" x14ac:dyDescent="0.2">
      <c r="O993" s="1"/>
      <c r="P993" s="1"/>
      <c r="Q993" s="1"/>
      <c r="R993" s="1"/>
    </row>
    <row r="994" spans="15:18" x14ac:dyDescent="0.2">
      <c r="O994" s="1"/>
      <c r="P994" s="1"/>
      <c r="Q994" s="1"/>
      <c r="R994" s="1"/>
    </row>
    <row r="995" spans="15:18" x14ac:dyDescent="0.2">
      <c r="O995" s="1"/>
      <c r="P995" s="1"/>
      <c r="Q995" s="1"/>
      <c r="R995" s="1"/>
    </row>
    <row r="996" spans="15:18" x14ac:dyDescent="0.2">
      <c r="O996" s="1"/>
      <c r="P996" s="1"/>
      <c r="Q996" s="1"/>
      <c r="R996" s="1"/>
    </row>
    <row r="997" spans="15:18" x14ac:dyDescent="0.2">
      <c r="O997" s="1"/>
      <c r="P997" s="1"/>
      <c r="Q997" s="1"/>
      <c r="R997" s="1"/>
    </row>
    <row r="998" spans="15:18" x14ac:dyDescent="0.2">
      <c r="O998" s="1"/>
      <c r="P998" s="1"/>
      <c r="Q998" s="1"/>
      <c r="R998" s="1"/>
    </row>
    <row r="999" spans="15:18" x14ac:dyDescent="0.2">
      <c r="O999" s="1"/>
      <c r="P999" s="1"/>
      <c r="Q999" s="1"/>
      <c r="R999" s="1"/>
    </row>
  </sheetData>
  <mergeCells count="33">
    <mergeCell ref="O27:P27"/>
    <mergeCell ref="J28:M28"/>
    <mergeCell ref="B21:D21"/>
    <mergeCell ref="F23:H23"/>
    <mergeCell ref="O24:P24"/>
    <mergeCell ref="F25:H25"/>
    <mergeCell ref="O25:P25"/>
    <mergeCell ref="O35:P35"/>
    <mergeCell ref="R35:S35"/>
    <mergeCell ref="O42:T42"/>
    <mergeCell ref="P55:T55"/>
    <mergeCell ref="O57:P57"/>
    <mergeCell ref="B23:D23"/>
    <mergeCell ref="B29:D29"/>
    <mergeCell ref="B33:D33"/>
    <mergeCell ref="B45:D45"/>
    <mergeCell ref="J31:M31"/>
    <mergeCell ref="J33:M33"/>
    <mergeCell ref="F13:H13"/>
    <mergeCell ref="O14:O16"/>
    <mergeCell ref="B16:D16"/>
    <mergeCell ref="J16:M16"/>
    <mergeCell ref="O19:Q19"/>
    <mergeCell ref="J7:M7"/>
    <mergeCell ref="O8:O10"/>
    <mergeCell ref="J9:M9"/>
    <mergeCell ref="B9:D9"/>
    <mergeCell ref="F9:H9"/>
    <mergeCell ref="B2:C2"/>
    <mergeCell ref="G2:H2"/>
    <mergeCell ref="G3:H3"/>
    <mergeCell ref="B7:D7"/>
    <mergeCell ref="F7:H7"/>
  </mergeCells>
  <phoneticPr fontId="13" type="noConversion"/>
  <conditionalFormatting sqref="S40 P54:Q55 S54:T55 R55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T58"/>
  <sheetViews>
    <sheetView topLeftCell="A17" workbookViewId="0"/>
  </sheetViews>
  <sheetFormatPr defaultColWidth="12.5703125" defaultRowHeight="15.75" customHeight="1" x14ac:dyDescent="0.2"/>
  <cols>
    <col min="1" max="1" width="14.42578125" customWidth="1"/>
    <col min="2" max="2" width="34" customWidth="1"/>
    <col min="6" max="6" width="27.28515625" customWidth="1"/>
    <col min="7" max="7" width="19.42578125" customWidth="1"/>
    <col min="8" max="8" width="19.28515625" customWidth="1"/>
    <col min="10" max="10" width="27.28515625" customWidth="1"/>
    <col min="11" max="11" width="10.42578125" customWidth="1"/>
    <col min="12" max="12" width="19.28515625" customWidth="1"/>
    <col min="13" max="13" width="11.42578125" customWidth="1"/>
    <col min="14" max="14" width="21.7109375" customWidth="1"/>
    <col min="15" max="15" width="22.7109375" customWidth="1"/>
    <col min="16" max="16" width="13.140625" customWidth="1"/>
    <col min="17" max="17" width="14" customWidth="1"/>
    <col min="18" max="18" width="20.140625" customWidth="1"/>
    <col min="19" max="19" width="13.140625" customWidth="1"/>
    <col min="20" max="20" width="14" customWidth="1"/>
  </cols>
  <sheetData>
    <row r="2" spans="2:19" x14ac:dyDescent="0.2">
      <c r="B2" s="89" t="s">
        <v>180</v>
      </c>
      <c r="C2" s="90"/>
      <c r="F2" s="2" t="s">
        <v>1</v>
      </c>
      <c r="G2" s="91" t="s">
        <v>181</v>
      </c>
      <c r="H2" s="90"/>
    </row>
    <row r="3" spans="2:19" x14ac:dyDescent="0.2">
      <c r="B3" s="3" t="s">
        <v>182</v>
      </c>
      <c r="C3" s="4" t="s">
        <v>91</v>
      </c>
      <c r="F3" s="2" t="s">
        <v>5</v>
      </c>
      <c r="G3" s="91" t="s">
        <v>6</v>
      </c>
      <c r="H3" s="90"/>
    </row>
    <row r="4" spans="2:19" x14ac:dyDescent="0.2">
      <c r="B4" s="3" t="s">
        <v>7</v>
      </c>
      <c r="C4" s="4" t="s">
        <v>8</v>
      </c>
    </row>
    <row r="5" spans="2:19" x14ac:dyDescent="0.2">
      <c r="B5" s="3" t="s">
        <v>10</v>
      </c>
      <c r="C5" s="4" t="s">
        <v>183</v>
      </c>
      <c r="F5" s="2" t="s">
        <v>71</v>
      </c>
      <c r="G5" s="28">
        <v>0.99</v>
      </c>
      <c r="O5" s="2" t="s">
        <v>13</v>
      </c>
      <c r="P5" s="5">
        <v>10000000</v>
      </c>
    </row>
    <row r="6" spans="2:19" x14ac:dyDescent="0.2">
      <c r="B6" s="60"/>
      <c r="C6" s="60"/>
      <c r="D6" s="60"/>
      <c r="F6" s="60"/>
      <c r="G6" s="60"/>
      <c r="H6" s="60"/>
    </row>
    <row r="7" spans="2:19" x14ac:dyDescent="0.2">
      <c r="B7" s="92" t="s">
        <v>14</v>
      </c>
      <c r="C7" s="93"/>
      <c r="D7" s="90"/>
      <c r="F7" s="92" t="s">
        <v>77</v>
      </c>
      <c r="G7" s="93"/>
      <c r="H7" s="90"/>
      <c r="J7" s="92" t="s">
        <v>16</v>
      </c>
      <c r="K7" s="93"/>
      <c r="L7" s="93"/>
      <c r="M7" s="90"/>
      <c r="O7" s="7" t="s">
        <v>1</v>
      </c>
      <c r="P7" s="7" t="s">
        <v>17</v>
      </c>
      <c r="Q7" s="7" t="s">
        <v>18</v>
      </c>
      <c r="R7" s="7" t="s">
        <v>19</v>
      </c>
      <c r="S7" s="7" t="s">
        <v>20</v>
      </c>
    </row>
    <row r="8" spans="2:19" x14ac:dyDescent="0.2">
      <c r="B8" s="8" t="s">
        <v>17</v>
      </c>
      <c r="C8" s="8" t="s">
        <v>21</v>
      </c>
      <c r="D8" s="8" t="s">
        <v>22</v>
      </c>
      <c r="F8" s="8" t="s">
        <v>17</v>
      </c>
      <c r="G8" s="8" t="s">
        <v>21</v>
      </c>
      <c r="H8" s="8" t="s">
        <v>22</v>
      </c>
      <c r="J8" s="8" t="s">
        <v>23</v>
      </c>
      <c r="K8" s="8" t="s">
        <v>21</v>
      </c>
      <c r="L8" s="8" t="s">
        <v>22</v>
      </c>
      <c r="M8" s="61" t="s">
        <v>24</v>
      </c>
      <c r="O8" s="104" t="s">
        <v>25</v>
      </c>
      <c r="P8" s="9" t="s">
        <v>29</v>
      </c>
      <c r="Q8" s="10">
        <f>G19*C12*K19/1000</f>
        <v>0.23564100000000018</v>
      </c>
      <c r="R8" s="10">
        <f t="shared" ref="R8:R10" si="0">$P$5*(Q8/$Q$16)</f>
        <v>4475939.1951209065</v>
      </c>
      <c r="S8" s="10">
        <f t="shared" ref="S8:S9" si="1">R8*K12</f>
        <v>2551285.3412189162</v>
      </c>
    </row>
    <row r="9" spans="2:19" x14ac:dyDescent="0.2">
      <c r="B9" s="92" t="s">
        <v>27</v>
      </c>
      <c r="C9" s="93"/>
      <c r="D9" s="90"/>
      <c r="F9" s="92" t="s">
        <v>25</v>
      </c>
      <c r="G9" s="93"/>
      <c r="H9" s="90"/>
      <c r="J9" s="92" t="s">
        <v>28</v>
      </c>
      <c r="K9" s="93"/>
      <c r="L9" s="93"/>
      <c r="M9" s="90"/>
      <c r="O9" s="95"/>
      <c r="P9" s="9" t="s">
        <v>37</v>
      </c>
      <c r="Q9" s="10">
        <f>G25*C13*K19/1000</f>
        <v>4.2000000000000037</v>
      </c>
      <c r="R9" s="10">
        <f t="shared" si="0"/>
        <v>79777902.060795054</v>
      </c>
      <c r="S9" s="10">
        <f t="shared" si="1"/>
        <v>17551.138453374911</v>
      </c>
    </row>
    <row r="10" spans="2:19" x14ac:dyDescent="0.2">
      <c r="B10" s="11" t="s">
        <v>30</v>
      </c>
      <c r="C10" s="12">
        <v>28.01</v>
      </c>
      <c r="D10" s="4" t="s">
        <v>31</v>
      </c>
      <c r="F10" s="44" t="s">
        <v>184</v>
      </c>
      <c r="G10" s="45">
        <f>C24*60/1000*C18/C11</f>
        <v>1.3397377401652564</v>
      </c>
      <c r="H10" s="46" t="s">
        <v>89</v>
      </c>
      <c r="J10" s="11" t="s">
        <v>34</v>
      </c>
      <c r="K10" s="14">
        <v>0</v>
      </c>
      <c r="L10" s="4" t="s">
        <v>35</v>
      </c>
      <c r="M10" s="4" t="s">
        <v>36</v>
      </c>
      <c r="O10" s="62" t="s">
        <v>41</v>
      </c>
      <c r="P10" s="16" t="s">
        <v>38</v>
      </c>
      <c r="Q10" s="17">
        <f>C29/C36*C11*K19/1000</f>
        <v>0.24169257188332899</v>
      </c>
      <c r="R10" s="17">
        <f t="shared" si="0"/>
        <v>4590887.2210785411</v>
      </c>
      <c r="S10" s="18">
        <f>R10*K11</f>
        <v>146908.39107451332</v>
      </c>
    </row>
    <row r="11" spans="2:19" x14ac:dyDescent="0.2">
      <c r="B11" s="11" t="s">
        <v>38</v>
      </c>
      <c r="C11" s="12">
        <v>31.998799999999999</v>
      </c>
      <c r="D11" s="4" t="s">
        <v>31</v>
      </c>
      <c r="F11" s="11" t="s">
        <v>128</v>
      </c>
      <c r="G11" s="12">
        <f>C30/C15/C36</f>
        <v>1.8425941397626575E-3</v>
      </c>
      <c r="H11" s="4" t="s">
        <v>89</v>
      </c>
      <c r="J11" s="11" t="s">
        <v>38</v>
      </c>
      <c r="K11" s="14">
        <f>0.032</f>
        <v>3.2000000000000001E-2</v>
      </c>
      <c r="L11" s="4" t="s">
        <v>35</v>
      </c>
      <c r="M11" s="4" t="s">
        <v>40</v>
      </c>
    </row>
    <row r="12" spans="2:19" x14ac:dyDescent="0.2">
      <c r="B12" s="11" t="s">
        <v>29</v>
      </c>
      <c r="C12" s="12">
        <v>56.104999999999997</v>
      </c>
      <c r="D12" s="4" t="s">
        <v>31</v>
      </c>
      <c r="F12" s="11" t="s">
        <v>134</v>
      </c>
      <c r="G12" s="12">
        <f>G10-G11</f>
        <v>1.3378951460254938</v>
      </c>
      <c r="H12" s="4" t="s">
        <v>89</v>
      </c>
      <c r="J12" s="11" t="s">
        <v>29</v>
      </c>
      <c r="K12" s="14">
        <v>0.56999999999999995</v>
      </c>
      <c r="L12" s="4" t="s">
        <v>35</v>
      </c>
      <c r="M12" s="4" t="s">
        <v>44</v>
      </c>
      <c r="O12" s="7" t="s">
        <v>5</v>
      </c>
      <c r="P12" s="7" t="s">
        <v>17</v>
      </c>
      <c r="Q12" s="7" t="s">
        <v>18</v>
      </c>
      <c r="R12" s="7" t="s">
        <v>19</v>
      </c>
      <c r="S12" s="7" t="s">
        <v>20</v>
      </c>
    </row>
    <row r="13" spans="2:19" x14ac:dyDescent="0.2">
      <c r="B13" s="11" t="s">
        <v>37</v>
      </c>
      <c r="C13" s="12">
        <v>18.015280000000001</v>
      </c>
      <c r="D13" s="4" t="s">
        <v>31</v>
      </c>
      <c r="F13" s="11" t="s">
        <v>136</v>
      </c>
      <c r="G13" s="12">
        <f>G12*G5</f>
        <v>1.3245161945652388</v>
      </c>
      <c r="H13" s="4" t="s">
        <v>89</v>
      </c>
      <c r="J13" s="11" t="s">
        <v>37</v>
      </c>
      <c r="K13" s="14">
        <v>2.2000000000000001E-4</v>
      </c>
      <c r="L13" s="4" t="s">
        <v>35</v>
      </c>
      <c r="M13" s="4" t="s">
        <v>46</v>
      </c>
      <c r="O13" s="94" t="s">
        <v>25</v>
      </c>
      <c r="P13" s="9" t="s">
        <v>38</v>
      </c>
      <c r="Q13" s="10">
        <f>G16*C11*K19/1000</f>
        <v>4.091398024105084</v>
      </c>
      <c r="R13" s="10">
        <f t="shared" ref="R13:R15" si="2">$P$5*(Q13/$Q$16)</f>
        <v>77715035.918758467</v>
      </c>
      <c r="S13" s="10">
        <f t="shared" ref="S13:S15" si="3">R13*K11</f>
        <v>2486881.149400271</v>
      </c>
    </row>
    <row r="14" spans="2:19" x14ac:dyDescent="0.2">
      <c r="B14" s="11" t="s">
        <v>42</v>
      </c>
      <c r="C14" s="12">
        <v>138.20500000000001</v>
      </c>
      <c r="D14" s="4" t="s">
        <v>31</v>
      </c>
      <c r="F14" s="11" t="s">
        <v>140</v>
      </c>
      <c r="G14" s="12">
        <f>G12*(1-G5)</f>
        <v>1.3378951460254949E-2</v>
      </c>
      <c r="H14" s="4" t="s">
        <v>89</v>
      </c>
      <c r="J14" s="11" t="s">
        <v>42</v>
      </c>
      <c r="K14" s="14">
        <v>0.89</v>
      </c>
      <c r="L14" s="4" t="s">
        <v>35</v>
      </c>
      <c r="M14" s="4" t="s">
        <v>44</v>
      </c>
      <c r="O14" s="95"/>
      <c r="P14" s="9" t="s">
        <v>29</v>
      </c>
      <c r="Q14" s="10">
        <f>G22*C12*K19/1000</f>
        <v>0.23564100000000018</v>
      </c>
      <c r="R14" s="10">
        <f t="shared" si="2"/>
        <v>4475939.1951209065</v>
      </c>
      <c r="S14" s="10">
        <f t="shared" si="3"/>
        <v>2551285.3412189162</v>
      </c>
    </row>
    <row r="15" spans="2:19" x14ac:dyDescent="0.2">
      <c r="B15" s="11" t="s">
        <v>48</v>
      </c>
      <c r="C15" s="12">
        <v>34.014000000000003</v>
      </c>
      <c r="D15" s="4" t="s">
        <v>31</v>
      </c>
      <c r="F15" s="11" t="s">
        <v>145</v>
      </c>
      <c r="G15" s="12">
        <f>G11</f>
        <v>1.8425941397626575E-3</v>
      </c>
      <c r="H15" s="4" t="s">
        <v>89</v>
      </c>
      <c r="J15" s="11" t="s">
        <v>48</v>
      </c>
      <c r="K15" s="14">
        <v>1.5</v>
      </c>
      <c r="L15" s="4" t="s">
        <v>35</v>
      </c>
      <c r="M15" s="4" t="s">
        <v>50</v>
      </c>
      <c r="O15" s="96"/>
      <c r="P15" s="22" t="s">
        <v>37</v>
      </c>
      <c r="Q15" s="23">
        <f>G25*C13*K19/1000</f>
        <v>4.2000000000000037</v>
      </c>
      <c r="R15" s="24">
        <f t="shared" si="2"/>
        <v>79777902.060795054</v>
      </c>
      <c r="S15" s="23">
        <f t="shared" si="3"/>
        <v>17551.138453374911</v>
      </c>
    </row>
    <row r="16" spans="2:19" x14ac:dyDescent="0.2">
      <c r="B16" s="92" t="s">
        <v>51</v>
      </c>
      <c r="C16" s="93"/>
      <c r="D16" s="90"/>
      <c r="F16" s="48" t="s">
        <v>150</v>
      </c>
      <c r="G16" s="20">
        <f>SUM(G14:G15)</f>
        <v>1.5221545600017606E-2</v>
      </c>
      <c r="H16" s="21" t="s">
        <v>89</v>
      </c>
      <c r="J16" s="92" t="s">
        <v>53</v>
      </c>
      <c r="K16" s="93"/>
      <c r="L16" s="93"/>
      <c r="M16" s="90"/>
      <c r="O16" s="62" t="s">
        <v>41</v>
      </c>
      <c r="P16" s="16" t="s">
        <v>48</v>
      </c>
      <c r="Q16" s="17">
        <f>C30/C36*K19/1000</f>
        <v>0.52646157538705107</v>
      </c>
      <c r="R16" s="17">
        <f>P5</f>
        <v>10000000</v>
      </c>
      <c r="S16" s="18">
        <f>R16*K15</f>
        <v>15000000</v>
      </c>
    </row>
    <row r="17" spans="1:19" x14ac:dyDescent="0.2">
      <c r="B17" s="11" t="s">
        <v>30</v>
      </c>
      <c r="C17" s="12">
        <v>1.145</v>
      </c>
      <c r="D17" s="4" t="s">
        <v>54</v>
      </c>
      <c r="F17" s="44" t="s">
        <v>185</v>
      </c>
      <c r="G17" s="45">
        <f>C26/1000*C25</f>
        <v>0.05</v>
      </c>
      <c r="H17" s="46" t="s">
        <v>89</v>
      </c>
      <c r="J17" s="11" t="s">
        <v>56</v>
      </c>
      <c r="K17" s="14">
        <v>30</v>
      </c>
      <c r="L17" s="4" t="s">
        <v>57</v>
      </c>
      <c r="M17" s="4" t="s">
        <v>58</v>
      </c>
    </row>
    <row r="18" spans="1:19" x14ac:dyDescent="0.2">
      <c r="B18" s="11" t="s">
        <v>38</v>
      </c>
      <c r="C18" s="12">
        <v>1.429</v>
      </c>
      <c r="D18" s="4" t="s">
        <v>54</v>
      </c>
      <c r="F18" s="11" t="s">
        <v>186</v>
      </c>
      <c r="G18" s="12">
        <f>G17*G5</f>
        <v>4.9500000000000002E-2</v>
      </c>
      <c r="H18" s="4" t="s">
        <v>89</v>
      </c>
      <c r="J18" s="11" t="s">
        <v>61</v>
      </c>
      <c r="K18" s="14">
        <v>5</v>
      </c>
      <c r="L18" s="4" t="s">
        <v>57</v>
      </c>
      <c r="M18" s="4" t="s">
        <v>36</v>
      </c>
      <c r="O18" s="97" t="s">
        <v>66</v>
      </c>
      <c r="P18" s="93"/>
      <c r="Q18" s="90"/>
    </row>
    <row r="19" spans="1:19" x14ac:dyDescent="0.2">
      <c r="B19" s="11" t="s">
        <v>37</v>
      </c>
      <c r="C19" s="12">
        <v>1000</v>
      </c>
      <c r="D19" s="4" t="s">
        <v>54</v>
      </c>
      <c r="F19" s="48" t="s">
        <v>187</v>
      </c>
      <c r="G19" s="20">
        <f>G17*(1-G5)</f>
        <v>5.0000000000000044E-4</v>
      </c>
      <c r="H19" s="21" t="s">
        <v>89</v>
      </c>
      <c r="J19" s="11" t="s">
        <v>63</v>
      </c>
      <c r="K19" s="14">
        <f>350*24</f>
        <v>8400</v>
      </c>
      <c r="L19" s="4" t="s">
        <v>64</v>
      </c>
      <c r="M19" s="4" t="s">
        <v>65</v>
      </c>
      <c r="O19" s="27" t="s">
        <v>68</v>
      </c>
      <c r="P19" s="27" t="s">
        <v>69</v>
      </c>
      <c r="Q19" s="27" t="s">
        <v>20</v>
      </c>
    </row>
    <row r="20" spans="1:19" x14ac:dyDescent="0.2">
      <c r="F20" s="11" t="s">
        <v>188</v>
      </c>
      <c r="G20" s="12">
        <f>C27/1000*C25</f>
        <v>0.05</v>
      </c>
      <c r="H20" s="4" t="s">
        <v>89</v>
      </c>
      <c r="J20" s="11" t="s">
        <v>67</v>
      </c>
      <c r="K20" s="26">
        <v>7.0000000000000007E-2</v>
      </c>
      <c r="L20" s="4" t="s">
        <v>60</v>
      </c>
      <c r="M20" s="4" t="s">
        <v>36</v>
      </c>
      <c r="O20" s="30" t="s">
        <v>74</v>
      </c>
      <c r="P20" s="31">
        <f>C47/10000*K23*(P5/Q16)</f>
        <v>18994738.58590357</v>
      </c>
      <c r="Q20" s="31">
        <f>P20*K21*K26</f>
        <v>1836861.2019260384</v>
      </c>
    </row>
    <row r="21" spans="1:19" x14ac:dyDescent="0.2">
      <c r="A21" s="6" t="s">
        <v>189</v>
      </c>
      <c r="B21" s="92" t="s">
        <v>70</v>
      </c>
      <c r="C21" s="93"/>
      <c r="D21" s="90"/>
      <c r="F21" s="11" t="s">
        <v>190</v>
      </c>
      <c r="G21" s="12">
        <f>G20*G5</f>
        <v>4.9500000000000002E-2</v>
      </c>
      <c r="H21" s="4" t="s">
        <v>89</v>
      </c>
      <c r="J21" s="11" t="s">
        <v>72</v>
      </c>
      <c r="K21" s="29">
        <f>K20*(1+K20)^K17/((1+K20)^K17-1)</f>
        <v>8.0586403511111196E-2</v>
      </c>
      <c r="L21" s="4" t="s">
        <v>73</v>
      </c>
      <c r="M21" s="4" t="s">
        <v>36</v>
      </c>
      <c r="O21" s="30" t="s">
        <v>76</v>
      </c>
      <c r="P21" s="31">
        <f>C46/10000*K24*(P5/Q16)</f>
        <v>1830222.2074959171</v>
      </c>
      <c r="Q21" s="31">
        <f>P21*K22</f>
        <v>446374.16516820376</v>
      </c>
    </row>
    <row r="22" spans="1:19" x14ac:dyDescent="0.2">
      <c r="A22" s="6" t="s">
        <v>191</v>
      </c>
      <c r="B22" s="8" t="s">
        <v>17</v>
      </c>
      <c r="C22" s="8" t="s">
        <v>21</v>
      </c>
      <c r="D22" s="8" t="s">
        <v>22</v>
      </c>
      <c r="F22" s="39" t="s">
        <v>192</v>
      </c>
      <c r="G22" s="40">
        <f>G20*(1-G5)</f>
        <v>5.0000000000000044E-4</v>
      </c>
      <c r="H22" s="41" t="s">
        <v>89</v>
      </c>
      <c r="J22" s="11" t="s">
        <v>75</v>
      </c>
      <c r="K22" s="29">
        <f>K20*(1+K20)^K18/((1+K20)^K18-1)</f>
        <v>0.24389069444137401</v>
      </c>
      <c r="L22" s="4" t="s">
        <v>73</v>
      </c>
      <c r="M22" s="4" t="s">
        <v>36</v>
      </c>
      <c r="O22" s="30" t="s">
        <v>79</v>
      </c>
      <c r="P22" s="31">
        <f>C45/10000*K25*(P5/Q16)</f>
        <v>1367621.1781850571</v>
      </c>
      <c r="Q22" s="31">
        <f>P22*K22</f>
        <v>333550.07888028369</v>
      </c>
    </row>
    <row r="23" spans="1:19" x14ac:dyDescent="0.2">
      <c r="A23" s="6" t="s">
        <v>193</v>
      </c>
      <c r="B23" s="92" t="s">
        <v>25</v>
      </c>
      <c r="C23" s="93"/>
      <c r="D23" s="90"/>
      <c r="F23" s="63" t="s">
        <v>169</v>
      </c>
      <c r="G23" s="64">
        <f>C26/1000*C19/C13</f>
        <v>2.7754217530895993</v>
      </c>
      <c r="H23" s="65" t="s">
        <v>89</v>
      </c>
      <c r="J23" s="11" t="s">
        <v>74</v>
      </c>
      <c r="K23" s="32">
        <v>10000</v>
      </c>
      <c r="L23" s="4" t="s">
        <v>78</v>
      </c>
      <c r="M23" s="4" t="s">
        <v>58</v>
      </c>
      <c r="O23" s="100" t="s">
        <v>83</v>
      </c>
      <c r="P23" s="101"/>
      <c r="Q23" s="33">
        <f>Q20*K27/(1-K27)</f>
        <v>989079.10872940521</v>
      </c>
    </row>
    <row r="24" spans="1:19" x14ac:dyDescent="0.2">
      <c r="A24" s="6" t="s">
        <v>194</v>
      </c>
      <c r="B24" s="11" t="s">
        <v>38</v>
      </c>
      <c r="C24" s="12">
        <v>500</v>
      </c>
      <c r="D24" s="4" t="s">
        <v>81</v>
      </c>
      <c r="F24" s="11" t="s">
        <v>170</v>
      </c>
      <c r="G24" s="12">
        <f>G23*(1-G5)</f>
        <v>2.7754217530896016E-2</v>
      </c>
      <c r="H24" s="4" t="s">
        <v>89</v>
      </c>
      <c r="J24" s="11" t="s">
        <v>76</v>
      </c>
      <c r="K24" s="32">
        <f>185/(40*48)/10^-4</f>
        <v>963.54166666666663</v>
      </c>
      <c r="L24" s="4" t="s">
        <v>78</v>
      </c>
      <c r="M24" s="4" t="s">
        <v>82</v>
      </c>
      <c r="O24" s="102" t="s">
        <v>86</v>
      </c>
      <c r="P24" s="103"/>
      <c r="Q24" s="34">
        <f>SUM(Q20:Q23)</f>
        <v>3605864.5547039309</v>
      </c>
    </row>
    <row r="25" spans="1:19" x14ac:dyDescent="0.2">
      <c r="B25" s="11" t="s">
        <v>29</v>
      </c>
      <c r="C25" s="12">
        <v>1</v>
      </c>
      <c r="D25" s="4" t="s">
        <v>87</v>
      </c>
      <c r="F25" s="48" t="s">
        <v>173</v>
      </c>
      <c r="G25" s="20">
        <f>G24</f>
        <v>2.7754217530896016E-2</v>
      </c>
      <c r="H25" s="21" t="s">
        <v>89</v>
      </c>
      <c r="J25" s="11" t="s">
        <v>84</v>
      </c>
      <c r="K25" s="12">
        <v>180</v>
      </c>
      <c r="L25" s="4" t="s">
        <v>78</v>
      </c>
      <c r="M25" s="4" t="s">
        <v>85</v>
      </c>
    </row>
    <row r="26" spans="1:19" x14ac:dyDescent="0.2">
      <c r="B26" s="11" t="s">
        <v>93</v>
      </c>
      <c r="C26" s="12">
        <v>50</v>
      </c>
      <c r="D26" s="4" t="s">
        <v>94</v>
      </c>
      <c r="J26" s="11" t="s">
        <v>90</v>
      </c>
      <c r="K26" s="12">
        <v>1.2</v>
      </c>
      <c r="L26" s="4" t="s">
        <v>91</v>
      </c>
      <c r="M26" s="4" t="s">
        <v>92</v>
      </c>
      <c r="O26" s="97" t="s">
        <v>97</v>
      </c>
      <c r="P26" s="90"/>
      <c r="R26" s="97" t="s">
        <v>132</v>
      </c>
      <c r="S26" s="90"/>
    </row>
    <row r="27" spans="1:19" x14ac:dyDescent="0.2">
      <c r="B27" s="11" t="s">
        <v>98</v>
      </c>
      <c r="C27" s="12">
        <v>50</v>
      </c>
      <c r="D27" s="4" t="s">
        <v>94</v>
      </c>
      <c r="J27" s="11" t="s">
        <v>83</v>
      </c>
      <c r="K27" s="35">
        <v>0.35</v>
      </c>
      <c r="L27" s="4" t="s">
        <v>96</v>
      </c>
      <c r="M27" s="4" t="s">
        <v>92</v>
      </c>
      <c r="O27" s="36" t="s">
        <v>23</v>
      </c>
      <c r="P27" s="36" t="s">
        <v>20</v>
      </c>
      <c r="R27" s="36" t="s">
        <v>23</v>
      </c>
      <c r="S27" s="36" t="s">
        <v>20</v>
      </c>
    </row>
    <row r="28" spans="1:19" x14ac:dyDescent="0.2">
      <c r="B28" s="92" t="s">
        <v>41</v>
      </c>
      <c r="C28" s="93"/>
      <c r="D28" s="90"/>
      <c r="J28" s="92" t="s">
        <v>100</v>
      </c>
      <c r="K28" s="93"/>
      <c r="L28" s="93"/>
      <c r="M28" s="90"/>
      <c r="O28" s="37" t="s">
        <v>102</v>
      </c>
      <c r="P28" s="31">
        <f>Q24*K29</f>
        <v>90146.61386759828</v>
      </c>
      <c r="R28" s="37" t="s">
        <v>137</v>
      </c>
      <c r="S28" s="31">
        <f>Q24</f>
        <v>3605864.5547039309</v>
      </c>
    </row>
    <row r="29" spans="1:19" x14ac:dyDescent="0.2">
      <c r="B29" s="11" t="s">
        <v>38</v>
      </c>
      <c r="C29" s="47">
        <f>C39*(C40)/(4*96485)</f>
        <v>1.798375265585324E-3</v>
      </c>
      <c r="D29" s="4" t="s">
        <v>104</v>
      </c>
      <c r="J29" s="11" t="s">
        <v>102</v>
      </c>
      <c r="K29" s="35">
        <v>2.5000000000000001E-2</v>
      </c>
      <c r="L29" s="4" t="s">
        <v>103</v>
      </c>
      <c r="M29" s="4" t="s">
        <v>85</v>
      </c>
      <c r="O29" s="37" t="s">
        <v>108</v>
      </c>
      <c r="P29" s="31">
        <f>SUM(S8:S9)*K30</f>
        <v>513767.29593445826</v>
      </c>
      <c r="R29" s="37" t="s">
        <v>142</v>
      </c>
      <c r="S29" s="31">
        <f>SUM(S8:S9)+SUM(S13:S15)+P32</f>
        <v>12386052.001639176</v>
      </c>
    </row>
    <row r="30" spans="1:19" x14ac:dyDescent="0.2">
      <c r="B30" s="11" t="s">
        <v>48</v>
      </c>
      <c r="C30" s="66">
        <f>C41*(C39/2/96485)*C15</f>
        <v>0.12534799413977407</v>
      </c>
      <c r="D30" s="4" t="s">
        <v>109</v>
      </c>
      <c r="J30" s="11" t="s">
        <v>106</v>
      </c>
      <c r="K30" s="35">
        <v>0.2</v>
      </c>
      <c r="L30" s="4" t="s">
        <v>107</v>
      </c>
      <c r="M30" s="4" t="s">
        <v>85</v>
      </c>
      <c r="O30" s="37" t="s">
        <v>112</v>
      </c>
      <c r="P30" s="31">
        <f>SUM(S13:S15)*K30</f>
        <v>1011143.5258145124</v>
      </c>
      <c r="R30" s="42" t="s">
        <v>146</v>
      </c>
      <c r="S30" s="33">
        <f>S10+S16</f>
        <v>15146908.391074514</v>
      </c>
    </row>
    <row r="31" spans="1:19" x14ac:dyDescent="0.2">
      <c r="J31" s="92" t="s">
        <v>111</v>
      </c>
      <c r="K31" s="93"/>
      <c r="L31" s="93"/>
      <c r="M31" s="90"/>
      <c r="O31" s="42" t="s">
        <v>114</v>
      </c>
      <c r="P31" s="33">
        <f>C38/C36*K19*(P5/Q16)*K32</f>
        <v>3146440.4572777553</v>
      </c>
      <c r="R31" s="43" t="s">
        <v>151</v>
      </c>
      <c r="S31" s="34">
        <f>S30-SUM(S28:S29)</f>
        <v>-845008.16526859254</v>
      </c>
    </row>
    <row r="32" spans="1:19" x14ac:dyDescent="0.2">
      <c r="B32" s="92" t="s">
        <v>195</v>
      </c>
      <c r="C32" s="93"/>
      <c r="D32" s="90"/>
      <c r="J32" s="11" t="s">
        <v>114</v>
      </c>
      <c r="K32" s="14">
        <v>0.11600000000000001</v>
      </c>
      <c r="L32" s="4" t="s">
        <v>115</v>
      </c>
      <c r="M32" s="4" t="s">
        <v>116</v>
      </c>
      <c r="O32" s="43" t="s">
        <v>121</v>
      </c>
      <c r="P32" s="34">
        <f>SUM(P28:P31)</f>
        <v>4761497.8928943239</v>
      </c>
    </row>
    <row r="33" spans="2:20" x14ac:dyDescent="0.2">
      <c r="B33" s="8" t="s">
        <v>23</v>
      </c>
      <c r="C33" s="8" t="s">
        <v>21</v>
      </c>
      <c r="D33" s="8" t="s">
        <v>22</v>
      </c>
    </row>
    <row r="34" spans="2:20" x14ac:dyDescent="0.2">
      <c r="B34" s="11" t="s">
        <v>196</v>
      </c>
      <c r="C34" s="12">
        <v>2</v>
      </c>
      <c r="D34" s="4" t="s">
        <v>127</v>
      </c>
      <c r="O34" s="92" t="s">
        <v>156</v>
      </c>
      <c r="P34" s="93"/>
      <c r="Q34" s="93"/>
      <c r="R34" s="93"/>
      <c r="S34" s="93"/>
      <c r="T34" s="90"/>
    </row>
    <row r="35" spans="2:20" x14ac:dyDescent="0.2">
      <c r="B35" s="11" t="s">
        <v>197</v>
      </c>
      <c r="C35" s="12" t="s">
        <v>91</v>
      </c>
      <c r="D35" s="4" t="s">
        <v>91</v>
      </c>
      <c r="O35" s="8" t="s">
        <v>159</v>
      </c>
      <c r="P35" s="8" t="s">
        <v>160</v>
      </c>
      <c r="Q35" s="8" t="s">
        <v>161</v>
      </c>
      <c r="R35" s="8" t="s">
        <v>162</v>
      </c>
      <c r="S35" s="8" t="s">
        <v>160</v>
      </c>
      <c r="T35" s="8" t="s">
        <v>161</v>
      </c>
    </row>
    <row r="36" spans="2:20" x14ac:dyDescent="0.2">
      <c r="B36" s="11" t="s">
        <v>135</v>
      </c>
      <c r="C36" s="12">
        <v>2</v>
      </c>
      <c r="D36" s="4" t="s">
        <v>127</v>
      </c>
      <c r="O36" s="13" t="s">
        <v>164</v>
      </c>
      <c r="P36" s="31">
        <f>SUM(S8:S9)</f>
        <v>2568836.4796722913</v>
      </c>
      <c r="Q36" s="49">
        <f t="shared" ref="Q36:Q45" si="4">P36/$P$5</f>
        <v>0.25688364796722912</v>
      </c>
      <c r="R36" s="5" t="s">
        <v>164</v>
      </c>
      <c r="S36" s="31">
        <f>SUM(S13:S15)</f>
        <v>5055717.6290725619</v>
      </c>
      <c r="T36" s="49">
        <f t="shared" ref="T36:T45" si="5">S36/$P$5</f>
        <v>0.50557176290725614</v>
      </c>
    </row>
    <row r="37" spans="2:20" x14ac:dyDescent="0.2">
      <c r="B37" s="11" t="s">
        <v>138</v>
      </c>
      <c r="C37" s="12">
        <v>1</v>
      </c>
      <c r="D37" s="4" t="s">
        <v>139</v>
      </c>
      <c r="O37" s="13" t="s">
        <v>74</v>
      </c>
      <c r="P37" s="31">
        <f t="shared" ref="P37:P40" si="6">Q20/2</f>
        <v>918430.60096301918</v>
      </c>
      <c r="Q37" s="49">
        <f t="shared" si="4"/>
        <v>9.1843060096301915E-2</v>
      </c>
      <c r="R37" s="5" t="s">
        <v>74</v>
      </c>
      <c r="S37" s="31">
        <f t="shared" ref="S37:S40" si="7">Q20/2</f>
        <v>918430.60096301918</v>
      </c>
      <c r="T37" s="49">
        <f t="shared" si="5"/>
        <v>9.1843060096301915E-2</v>
      </c>
    </row>
    <row r="38" spans="2:20" x14ac:dyDescent="0.2">
      <c r="B38" s="11" t="s">
        <v>143</v>
      </c>
      <c r="C38" s="12">
        <v>3.4000000000000002E-4</v>
      </c>
      <c r="D38" s="4" t="s">
        <v>144</v>
      </c>
      <c r="O38" s="13" t="s">
        <v>76</v>
      </c>
      <c r="P38" s="31">
        <f t="shared" si="6"/>
        <v>223187.08258410188</v>
      </c>
      <c r="Q38" s="49">
        <f t="shared" si="4"/>
        <v>2.2318708258410189E-2</v>
      </c>
      <c r="R38" s="5" t="s">
        <v>76</v>
      </c>
      <c r="S38" s="31">
        <f t="shared" si="7"/>
        <v>223187.08258410188</v>
      </c>
      <c r="T38" s="49">
        <f t="shared" si="5"/>
        <v>2.2318708258410189E-2</v>
      </c>
    </row>
    <row r="39" spans="2:20" x14ac:dyDescent="0.2">
      <c r="B39" s="11" t="s">
        <v>152</v>
      </c>
      <c r="C39" s="12">
        <f>816.547</f>
        <v>816.54700000000003</v>
      </c>
      <c r="D39" s="4" t="s">
        <v>153</v>
      </c>
      <c r="O39" s="13" t="s">
        <v>79</v>
      </c>
      <c r="P39" s="31">
        <f t="shared" si="6"/>
        <v>166775.03944014185</v>
      </c>
      <c r="Q39" s="49">
        <f t="shared" si="4"/>
        <v>1.6677503944014186E-2</v>
      </c>
      <c r="R39" s="5" t="s">
        <v>79</v>
      </c>
      <c r="S39" s="31">
        <f t="shared" si="7"/>
        <v>166775.03944014185</v>
      </c>
      <c r="T39" s="49">
        <f t="shared" si="5"/>
        <v>1.6677503944014186E-2</v>
      </c>
    </row>
    <row r="40" spans="2:20" x14ac:dyDescent="0.2">
      <c r="B40" s="11" t="s">
        <v>155</v>
      </c>
      <c r="C40" s="35">
        <v>0.85</v>
      </c>
      <c r="D40" s="4" t="s">
        <v>60</v>
      </c>
      <c r="O40" s="13" t="s">
        <v>83</v>
      </c>
      <c r="P40" s="31">
        <f t="shared" si="6"/>
        <v>494539.55436470261</v>
      </c>
      <c r="Q40" s="49">
        <f t="shared" si="4"/>
        <v>4.9453955436470264E-2</v>
      </c>
      <c r="R40" s="5" t="s">
        <v>83</v>
      </c>
      <c r="S40" s="31">
        <f t="shared" si="7"/>
        <v>494539.55436470261</v>
      </c>
      <c r="T40" s="49">
        <f t="shared" si="5"/>
        <v>4.9453955436470264E-2</v>
      </c>
    </row>
    <row r="41" spans="2:20" x14ac:dyDescent="0.2">
      <c r="B41" s="11" t="s">
        <v>157</v>
      </c>
      <c r="C41" s="35">
        <v>0.87090000000000001</v>
      </c>
      <c r="D41" s="4" t="s">
        <v>60</v>
      </c>
      <c r="O41" s="13" t="s">
        <v>102</v>
      </c>
      <c r="P41" s="31">
        <f>P28/2</f>
        <v>45073.30693379914</v>
      </c>
      <c r="Q41" s="49">
        <f t="shared" si="4"/>
        <v>4.5073306933799137E-3</v>
      </c>
      <c r="R41" s="5" t="s">
        <v>102</v>
      </c>
      <c r="S41" s="31">
        <f>P28/2</f>
        <v>45073.30693379914</v>
      </c>
      <c r="T41" s="49">
        <f t="shared" si="5"/>
        <v>4.5073306933799137E-3</v>
      </c>
    </row>
    <row r="42" spans="2:20" x14ac:dyDescent="0.2">
      <c r="B42" s="67"/>
      <c r="C42" s="67"/>
      <c r="D42" s="67"/>
      <c r="O42" s="13" t="s">
        <v>106</v>
      </c>
      <c r="P42" s="31">
        <f>P29</f>
        <v>513767.29593445826</v>
      </c>
      <c r="Q42" s="49">
        <f t="shared" si="4"/>
        <v>5.1376729593445823E-2</v>
      </c>
      <c r="R42" s="5" t="s">
        <v>106</v>
      </c>
      <c r="S42" s="31">
        <f>P30</f>
        <v>1011143.5258145124</v>
      </c>
      <c r="T42" s="49">
        <f t="shared" si="5"/>
        <v>0.10111435258145124</v>
      </c>
    </row>
    <row r="43" spans="2:20" x14ac:dyDescent="0.2">
      <c r="B43" s="92" t="s">
        <v>165</v>
      </c>
      <c r="C43" s="93"/>
      <c r="D43" s="90"/>
      <c r="O43" s="13" t="s">
        <v>114</v>
      </c>
      <c r="P43" s="31">
        <f>P31/2</f>
        <v>1573220.2286388776</v>
      </c>
      <c r="Q43" s="49">
        <f t="shared" si="4"/>
        <v>0.15732202286388777</v>
      </c>
      <c r="R43" s="5" t="s">
        <v>114</v>
      </c>
      <c r="S43" s="31">
        <f>P31/2</f>
        <v>1573220.2286388776</v>
      </c>
      <c r="T43" s="49">
        <f t="shared" si="5"/>
        <v>0.15732202286388777</v>
      </c>
    </row>
    <row r="44" spans="2:20" x14ac:dyDescent="0.2">
      <c r="B44" s="8" t="s">
        <v>17</v>
      </c>
      <c r="C44" s="8" t="s">
        <v>21</v>
      </c>
      <c r="D44" s="8" t="s">
        <v>22</v>
      </c>
      <c r="O44" s="56" t="s">
        <v>146</v>
      </c>
      <c r="P44" s="33">
        <f>S10</f>
        <v>146908.39107451332</v>
      </c>
      <c r="Q44" s="57">
        <f t="shared" si="4"/>
        <v>1.4690839107451331E-2</v>
      </c>
      <c r="R44" s="68" t="s">
        <v>146</v>
      </c>
      <c r="S44" s="33">
        <f>S16</f>
        <v>15000000</v>
      </c>
      <c r="T44" s="57">
        <f t="shared" si="5"/>
        <v>1.5</v>
      </c>
    </row>
    <row r="45" spans="2:20" x14ac:dyDescent="0.2">
      <c r="B45" s="11" t="s">
        <v>84</v>
      </c>
      <c r="C45" s="12">
        <v>4</v>
      </c>
      <c r="D45" s="4" t="s">
        <v>139</v>
      </c>
      <c r="O45" s="58" t="s">
        <v>151</v>
      </c>
      <c r="P45" s="34">
        <f>P44-SUM(P36:P43)</f>
        <v>-6356921.1974568786</v>
      </c>
      <c r="Q45" s="34">
        <f t="shared" si="4"/>
        <v>-0.63569211974568784</v>
      </c>
      <c r="R45" s="59" t="s">
        <v>151</v>
      </c>
      <c r="S45" s="34">
        <f>S44-SUM(S36:S43)</f>
        <v>5511913.0321882833</v>
      </c>
      <c r="T45" s="34">
        <f t="shared" si="5"/>
        <v>0.55119130321882837</v>
      </c>
    </row>
    <row r="46" spans="2:20" x14ac:dyDescent="0.2">
      <c r="B46" s="11" t="s">
        <v>76</v>
      </c>
      <c r="C46" s="12">
        <v>1</v>
      </c>
      <c r="D46" s="4" t="s">
        <v>139</v>
      </c>
      <c r="O46" s="19" t="s">
        <v>177</v>
      </c>
      <c r="P46" s="98">
        <f>P45+S45</f>
        <v>-845008.16526859533</v>
      </c>
      <c r="Q46" s="93"/>
      <c r="R46" s="93"/>
      <c r="S46" s="93"/>
      <c r="T46" s="90"/>
    </row>
    <row r="47" spans="2:20" x14ac:dyDescent="0.2">
      <c r="B47" s="11" t="s">
        <v>74</v>
      </c>
      <c r="C47" s="12">
        <v>1</v>
      </c>
      <c r="D47" s="4" t="s">
        <v>139</v>
      </c>
    </row>
    <row r="48" spans="2:20" x14ac:dyDescent="0.2">
      <c r="B48" s="11" t="s">
        <v>171</v>
      </c>
      <c r="C48" s="12">
        <v>2</v>
      </c>
      <c r="D48" s="4" t="s">
        <v>172</v>
      </c>
      <c r="O48" s="99" t="s">
        <v>178</v>
      </c>
      <c r="P48" s="90"/>
    </row>
    <row r="49" spans="2:16" x14ac:dyDescent="0.2">
      <c r="B49" s="11" t="s">
        <v>174</v>
      </c>
      <c r="C49" s="12">
        <v>2</v>
      </c>
      <c r="D49" s="4" t="s">
        <v>172</v>
      </c>
      <c r="O49" s="13" t="s">
        <v>164</v>
      </c>
      <c r="P49" s="31">
        <f t="shared" ref="P49:P56" si="8">Q36+T36</f>
        <v>0.76245541087448521</v>
      </c>
    </row>
    <row r="50" spans="2:16" x14ac:dyDescent="0.2">
      <c r="B50" s="11" t="s">
        <v>175</v>
      </c>
      <c r="C50" s="12">
        <v>1</v>
      </c>
      <c r="D50" s="4" t="s">
        <v>172</v>
      </c>
      <c r="O50" s="13" t="s">
        <v>74</v>
      </c>
      <c r="P50" s="31">
        <f t="shared" si="8"/>
        <v>0.18368612019260383</v>
      </c>
    </row>
    <row r="51" spans="2:16" x14ac:dyDescent="0.2">
      <c r="O51" s="13" t="s">
        <v>76</v>
      </c>
      <c r="P51" s="31">
        <f t="shared" si="8"/>
        <v>4.4637416516820377E-2</v>
      </c>
    </row>
    <row r="52" spans="2:16" x14ac:dyDescent="0.2">
      <c r="O52" s="13" t="s">
        <v>79</v>
      </c>
      <c r="P52" s="31">
        <f t="shared" si="8"/>
        <v>3.3355007888028372E-2</v>
      </c>
    </row>
    <row r="53" spans="2:16" x14ac:dyDescent="0.2">
      <c r="O53" s="13" t="s">
        <v>83</v>
      </c>
      <c r="P53" s="31">
        <f t="shared" si="8"/>
        <v>9.8907910872940527E-2</v>
      </c>
    </row>
    <row r="54" spans="2:16" x14ac:dyDescent="0.2">
      <c r="O54" s="13" t="s">
        <v>102</v>
      </c>
      <c r="P54" s="31">
        <f t="shared" si="8"/>
        <v>9.0146613867598275E-3</v>
      </c>
    </row>
    <row r="55" spans="2:16" x14ac:dyDescent="0.2">
      <c r="O55" s="13" t="s">
        <v>106</v>
      </c>
      <c r="P55" s="31">
        <f t="shared" si="8"/>
        <v>0.15249108217489707</v>
      </c>
    </row>
    <row r="56" spans="2:16" x14ac:dyDescent="0.2">
      <c r="O56" s="13" t="s">
        <v>114</v>
      </c>
      <c r="P56" s="31">
        <f t="shared" si="8"/>
        <v>0.31464404572777555</v>
      </c>
    </row>
    <row r="57" spans="2:16" x14ac:dyDescent="0.2">
      <c r="O57" s="56" t="s">
        <v>146</v>
      </c>
      <c r="P57" s="31">
        <f>Q44</f>
        <v>1.4690839107451331E-2</v>
      </c>
    </row>
    <row r="58" spans="2:16" x14ac:dyDescent="0.2">
      <c r="O58" s="58" t="s">
        <v>179</v>
      </c>
      <c r="P58" s="34">
        <f>SUM(P49:P56)-P57</f>
        <v>1.5845008165268595</v>
      </c>
    </row>
  </sheetData>
  <mergeCells count="28">
    <mergeCell ref="O34:T34"/>
    <mergeCell ref="P46:T46"/>
    <mergeCell ref="O48:P48"/>
    <mergeCell ref="O8:O9"/>
    <mergeCell ref="O13:O15"/>
    <mergeCell ref="O18:Q18"/>
    <mergeCell ref="O23:P23"/>
    <mergeCell ref="O24:P24"/>
    <mergeCell ref="O26:P26"/>
    <mergeCell ref="R26:S26"/>
    <mergeCell ref="B43:D43"/>
    <mergeCell ref="B9:D9"/>
    <mergeCell ref="F9:H9"/>
    <mergeCell ref="B16:D16"/>
    <mergeCell ref="J16:M16"/>
    <mergeCell ref="B21:D21"/>
    <mergeCell ref="B23:D23"/>
    <mergeCell ref="B28:D28"/>
    <mergeCell ref="J7:M7"/>
    <mergeCell ref="J9:M9"/>
    <mergeCell ref="J28:M28"/>
    <mergeCell ref="J31:M31"/>
    <mergeCell ref="B32:D32"/>
    <mergeCell ref="B2:C2"/>
    <mergeCell ref="G2:H2"/>
    <mergeCell ref="G3:H3"/>
    <mergeCell ref="B7:D7"/>
    <mergeCell ref="F7:H7"/>
  </mergeCells>
  <phoneticPr fontId="13" type="noConversion"/>
  <conditionalFormatting sqref="S31 P45:Q45 S45:T45 P46:T46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T68"/>
  <sheetViews>
    <sheetView topLeftCell="A13" workbookViewId="0"/>
  </sheetViews>
  <sheetFormatPr defaultColWidth="12.5703125" defaultRowHeight="15.75" customHeight="1" x14ac:dyDescent="0.2"/>
  <cols>
    <col min="1" max="1" width="14.42578125" customWidth="1"/>
    <col min="2" max="2" width="34" customWidth="1"/>
    <col min="6" max="6" width="27.28515625" customWidth="1"/>
    <col min="7" max="7" width="26.85546875" customWidth="1"/>
    <col min="8" max="8" width="19.28515625" customWidth="1"/>
    <col min="10" max="10" width="27.28515625" customWidth="1"/>
    <col min="11" max="11" width="13.5703125" customWidth="1"/>
    <col min="12" max="12" width="19.28515625" customWidth="1"/>
    <col min="13" max="13" width="11.42578125" customWidth="1"/>
    <col min="14" max="14" width="18.140625" customWidth="1"/>
    <col min="15" max="15" width="22.7109375" customWidth="1"/>
    <col min="16" max="16" width="14.85546875" customWidth="1"/>
    <col min="17" max="17" width="14" customWidth="1"/>
    <col min="18" max="18" width="20.140625" customWidth="1"/>
    <col min="19" max="19" width="14.42578125" customWidth="1"/>
    <col min="20" max="20" width="14" customWidth="1"/>
  </cols>
  <sheetData>
    <row r="2" spans="2:19" x14ac:dyDescent="0.2">
      <c r="B2" s="89" t="s">
        <v>189</v>
      </c>
      <c r="C2" s="90"/>
      <c r="F2" s="2" t="s">
        <v>1</v>
      </c>
      <c r="G2" s="91" t="s">
        <v>198</v>
      </c>
      <c r="H2" s="90"/>
    </row>
    <row r="3" spans="2:19" x14ac:dyDescent="0.2">
      <c r="B3" s="3" t="s">
        <v>3</v>
      </c>
      <c r="C3" s="4" t="s">
        <v>34</v>
      </c>
      <c r="F3" s="2" t="s">
        <v>5</v>
      </c>
      <c r="G3" s="91" t="s">
        <v>6</v>
      </c>
      <c r="H3" s="90"/>
    </row>
    <row r="4" spans="2:19" x14ac:dyDescent="0.2">
      <c r="B4" s="3" t="s">
        <v>7</v>
      </c>
      <c r="C4" s="4" t="s">
        <v>8</v>
      </c>
      <c r="F4" s="3" t="s">
        <v>9</v>
      </c>
      <c r="G4" s="4">
        <v>3.7699999999999997E-2</v>
      </c>
    </row>
    <row r="5" spans="2:19" x14ac:dyDescent="0.2">
      <c r="B5" s="3" t="s">
        <v>10</v>
      </c>
      <c r="C5" s="4" t="s">
        <v>199</v>
      </c>
      <c r="F5" s="3" t="s">
        <v>12</v>
      </c>
      <c r="G5" s="4">
        <v>0.9</v>
      </c>
      <c r="O5" s="2" t="s">
        <v>13</v>
      </c>
      <c r="P5" s="5">
        <v>10000000</v>
      </c>
      <c r="R5" s="1"/>
      <c r="S5" s="1"/>
    </row>
    <row r="7" spans="2:19" x14ac:dyDescent="0.2">
      <c r="B7" s="92" t="s">
        <v>14</v>
      </c>
      <c r="C7" s="93"/>
      <c r="D7" s="90"/>
      <c r="F7" s="92" t="s">
        <v>15</v>
      </c>
      <c r="G7" s="93"/>
      <c r="H7" s="90"/>
      <c r="J7" s="92" t="s">
        <v>16</v>
      </c>
      <c r="K7" s="93"/>
      <c r="L7" s="93"/>
      <c r="M7" s="90"/>
      <c r="O7" s="7" t="s">
        <v>1</v>
      </c>
      <c r="P7" s="7" t="s">
        <v>17</v>
      </c>
      <c r="Q7" s="7" t="s">
        <v>18</v>
      </c>
      <c r="R7" s="7" t="s">
        <v>19</v>
      </c>
      <c r="S7" s="7" t="s">
        <v>20</v>
      </c>
    </row>
    <row r="8" spans="2:19" x14ac:dyDescent="0.2">
      <c r="B8" s="8" t="s">
        <v>17</v>
      </c>
      <c r="C8" s="8" t="s">
        <v>21</v>
      </c>
      <c r="D8" s="8" t="s">
        <v>22</v>
      </c>
      <c r="F8" s="8" t="s">
        <v>17</v>
      </c>
      <c r="G8" s="8" t="s">
        <v>21</v>
      </c>
      <c r="H8" s="8" t="s">
        <v>22</v>
      </c>
      <c r="J8" s="8" t="s">
        <v>23</v>
      </c>
      <c r="K8" s="8" t="s">
        <v>21</v>
      </c>
      <c r="L8" s="8" t="s">
        <v>22</v>
      </c>
      <c r="M8" s="61" t="s">
        <v>24</v>
      </c>
      <c r="O8" s="94" t="s">
        <v>25</v>
      </c>
      <c r="P8" s="9" t="s">
        <v>26</v>
      </c>
      <c r="Q8" s="10">
        <f>G32*C10*K19/1000</f>
        <v>0.30221974086456321</v>
      </c>
      <c r="R8" s="10">
        <f t="shared" ref="R8:R11" si="0">$P$5*(Q8/$Q$17)</f>
        <v>120617037.71293236</v>
      </c>
      <c r="S8" s="10">
        <f>R8*K10</f>
        <v>0</v>
      </c>
    </row>
    <row r="9" spans="2:19" x14ac:dyDescent="0.2">
      <c r="B9" s="92" t="s">
        <v>27</v>
      </c>
      <c r="C9" s="93"/>
      <c r="D9" s="90"/>
      <c r="F9" s="92" t="s">
        <v>25</v>
      </c>
      <c r="G9" s="93"/>
      <c r="H9" s="90"/>
      <c r="J9" s="92" t="s">
        <v>28</v>
      </c>
      <c r="K9" s="93"/>
      <c r="L9" s="93"/>
      <c r="M9" s="90"/>
      <c r="O9" s="95"/>
      <c r="P9" s="9" t="s">
        <v>29</v>
      </c>
      <c r="Q9" s="10">
        <f>G48*C12*K19/1000</f>
        <v>0.16919597815468054</v>
      </c>
      <c r="R9" s="10">
        <f t="shared" si="0"/>
        <v>67526752.61906597</v>
      </c>
      <c r="S9" s="10">
        <f t="shared" ref="S9:S11" si="1">R9*K12</f>
        <v>38490248.992867596</v>
      </c>
    </row>
    <row r="10" spans="2:19" x14ac:dyDescent="0.2">
      <c r="B10" s="11" t="s">
        <v>30</v>
      </c>
      <c r="C10" s="12">
        <v>28.01</v>
      </c>
      <c r="D10" s="4" t="s">
        <v>31</v>
      </c>
      <c r="F10" s="13" t="s">
        <v>32</v>
      </c>
      <c r="G10" s="12">
        <f>C27/1000*C19</f>
        <v>12.5</v>
      </c>
      <c r="H10" s="4" t="s">
        <v>33</v>
      </c>
      <c r="J10" s="69" t="s">
        <v>34</v>
      </c>
      <c r="K10" s="70">
        <v>0</v>
      </c>
      <c r="L10" s="71" t="s">
        <v>35</v>
      </c>
      <c r="M10" s="71" t="s">
        <v>36</v>
      </c>
      <c r="O10" s="96"/>
      <c r="P10" s="9" t="s">
        <v>37</v>
      </c>
      <c r="Q10" s="10">
        <f>G51*C13*K19/1000</f>
        <v>1.0500000000000009</v>
      </c>
      <c r="R10" s="10">
        <f t="shared" si="0"/>
        <v>419058957.68514705</v>
      </c>
      <c r="S10" s="10">
        <f t="shared" si="1"/>
        <v>92192.970690732356</v>
      </c>
    </row>
    <row r="11" spans="2:19" x14ac:dyDescent="0.2">
      <c r="B11" s="11" t="s">
        <v>38</v>
      </c>
      <c r="C11" s="12">
        <v>31.998799999999999</v>
      </c>
      <c r="D11" s="4" t="s">
        <v>31</v>
      </c>
      <c r="F11" s="13" t="s">
        <v>39</v>
      </c>
      <c r="G11" s="12">
        <f>(C27/1000*C26*C12)-(C30*2/C37*C12)</f>
        <v>0.68805062792752758</v>
      </c>
      <c r="H11" s="4" t="s">
        <v>33</v>
      </c>
      <c r="J11" s="69" t="s">
        <v>200</v>
      </c>
      <c r="K11" s="70">
        <v>0</v>
      </c>
      <c r="L11" s="71" t="s">
        <v>35</v>
      </c>
      <c r="M11" s="71" t="s">
        <v>36</v>
      </c>
      <c r="O11" s="62" t="s">
        <v>41</v>
      </c>
      <c r="P11" s="16" t="s">
        <v>42</v>
      </c>
      <c r="Q11" s="17">
        <f>G17/1000*K19</f>
        <v>0.11387637122290407</v>
      </c>
      <c r="R11" s="17">
        <f t="shared" si="0"/>
        <v>45448488.980606675</v>
      </c>
      <c r="S11" s="18">
        <f t="shared" si="1"/>
        <v>40449155.192739941</v>
      </c>
    </row>
    <row r="12" spans="2:19" x14ac:dyDescent="0.2">
      <c r="B12" s="11" t="s">
        <v>29</v>
      </c>
      <c r="C12" s="12">
        <v>56.104999999999997</v>
      </c>
      <c r="D12" s="4" t="s">
        <v>31</v>
      </c>
      <c r="F12" s="13" t="s">
        <v>43</v>
      </c>
      <c r="G12" s="12">
        <f>C30*C14/C37</f>
        <v>1.6334168343071463E-2</v>
      </c>
      <c r="H12" s="4" t="s">
        <v>33</v>
      </c>
      <c r="J12" s="69" t="s">
        <v>29</v>
      </c>
      <c r="K12" s="70">
        <v>0.56999999999999995</v>
      </c>
      <c r="L12" s="71" t="s">
        <v>35</v>
      </c>
      <c r="M12" s="71" t="s">
        <v>44</v>
      </c>
    </row>
    <row r="13" spans="2:19" x14ac:dyDescent="0.2">
      <c r="B13" s="11" t="s">
        <v>37</v>
      </c>
      <c r="C13" s="12">
        <v>18.015280000000001</v>
      </c>
      <c r="D13" s="4" t="s">
        <v>31</v>
      </c>
      <c r="F13" s="92" t="s">
        <v>45</v>
      </c>
      <c r="G13" s="93"/>
      <c r="H13" s="90"/>
      <c r="J13" s="69" t="s">
        <v>37</v>
      </c>
      <c r="K13" s="70">
        <v>2.2000000000000001E-4</v>
      </c>
      <c r="L13" s="71" t="s">
        <v>35</v>
      </c>
      <c r="M13" s="71" t="s">
        <v>46</v>
      </c>
      <c r="O13" s="7" t="s">
        <v>5</v>
      </c>
      <c r="P13" s="7" t="s">
        <v>17</v>
      </c>
      <c r="Q13" s="7" t="s">
        <v>18</v>
      </c>
      <c r="R13" s="7" t="s">
        <v>19</v>
      </c>
      <c r="S13" s="7" t="s">
        <v>20</v>
      </c>
    </row>
    <row r="14" spans="2:19" x14ac:dyDescent="0.2">
      <c r="B14" s="11" t="s">
        <v>42</v>
      </c>
      <c r="C14" s="12">
        <v>138.20500000000001</v>
      </c>
      <c r="D14" s="4" t="s">
        <v>31</v>
      </c>
      <c r="F14" s="13" t="s">
        <v>47</v>
      </c>
      <c r="G14" s="12">
        <f>(1-G5)*G11/(G5*(1+G4))</f>
        <v>7.3672612286523331E-2</v>
      </c>
      <c r="H14" s="4" t="s">
        <v>33</v>
      </c>
      <c r="J14" s="69" t="s">
        <v>42</v>
      </c>
      <c r="K14" s="70">
        <v>0.89</v>
      </c>
      <c r="L14" s="71" t="s">
        <v>35</v>
      </c>
      <c r="M14" s="71" t="s">
        <v>44</v>
      </c>
      <c r="O14" s="94" t="s">
        <v>25</v>
      </c>
      <c r="P14" s="9" t="s">
        <v>201</v>
      </c>
      <c r="Q14" s="10">
        <f>G40*C11*K19/1000</f>
        <v>0.77956274270468295</v>
      </c>
      <c r="R14" s="10">
        <f t="shared" ref="R14:R16" si="2">$P$5*(Q14/$Q$17)</f>
        <v>311126428.95999867</v>
      </c>
      <c r="S14" s="10">
        <f t="shared" ref="S14:S16" si="3">R14*K11</f>
        <v>0</v>
      </c>
    </row>
    <row r="15" spans="2:19" x14ac:dyDescent="0.2">
      <c r="B15" s="11" t="s">
        <v>48</v>
      </c>
      <c r="C15" s="12">
        <v>34.014000000000003</v>
      </c>
      <c r="D15" s="4" t="s">
        <v>31</v>
      </c>
      <c r="F15" s="13" t="s">
        <v>49</v>
      </c>
      <c r="G15" s="12">
        <f>G14*G4</f>
        <v>2.7774574832019295E-3</v>
      </c>
      <c r="H15" s="4" t="s">
        <v>33</v>
      </c>
      <c r="J15" s="69" t="s">
        <v>48</v>
      </c>
      <c r="K15" s="70">
        <v>1.5</v>
      </c>
      <c r="L15" s="71" t="s">
        <v>35</v>
      </c>
      <c r="M15" s="71" t="s">
        <v>50</v>
      </c>
      <c r="O15" s="95"/>
      <c r="P15" s="9" t="s">
        <v>29</v>
      </c>
      <c r="Q15" s="10">
        <f>G42*(1-G21)*C12*K19/1000</f>
        <v>5.8910250000000046E-2</v>
      </c>
      <c r="R15" s="10">
        <f t="shared" si="2"/>
        <v>23511302.820925172</v>
      </c>
      <c r="S15" s="10">
        <f t="shared" si="3"/>
        <v>13401442.607927347</v>
      </c>
    </row>
    <row r="16" spans="2:19" x14ac:dyDescent="0.2">
      <c r="B16" s="92" t="s">
        <v>51</v>
      </c>
      <c r="C16" s="93"/>
      <c r="D16" s="90"/>
      <c r="F16" s="19" t="s">
        <v>52</v>
      </c>
      <c r="G16" s="20">
        <f>G10-G14</f>
        <v>12.426327387713476</v>
      </c>
      <c r="H16" s="21" t="s">
        <v>33</v>
      </c>
      <c r="J16" s="105" t="s">
        <v>53</v>
      </c>
      <c r="K16" s="93"/>
      <c r="L16" s="93"/>
      <c r="M16" s="90"/>
      <c r="O16" s="96"/>
      <c r="P16" s="22" t="s">
        <v>37</v>
      </c>
      <c r="Q16" s="23">
        <f>G51*C13*K19/1000</f>
        <v>1.0500000000000009</v>
      </c>
      <c r="R16" s="24">
        <f t="shared" si="2"/>
        <v>419058957.68514705</v>
      </c>
      <c r="S16" s="23">
        <f t="shared" si="3"/>
        <v>92192.970690732356</v>
      </c>
    </row>
    <row r="17" spans="1:19" x14ac:dyDescent="0.2">
      <c r="B17" s="11" t="s">
        <v>30</v>
      </c>
      <c r="C17" s="12">
        <v>1.145</v>
      </c>
      <c r="D17" s="4" t="s">
        <v>54</v>
      </c>
      <c r="F17" s="19" t="s">
        <v>55</v>
      </c>
      <c r="G17" s="20">
        <f>G12-G15</f>
        <v>1.3556710859869533E-2</v>
      </c>
      <c r="H17" s="21" t="s">
        <v>33</v>
      </c>
      <c r="J17" s="69" t="s">
        <v>56</v>
      </c>
      <c r="K17" s="70">
        <v>30</v>
      </c>
      <c r="L17" s="71" t="s">
        <v>57</v>
      </c>
      <c r="M17" s="71" t="s">
        <v>58</v>
      </c>
      <c r="O17" s="15" t="s">
        <v>41</v>
      </c>
      <c r="P17" s="16" t="s">
        <v>48</v>
      </c>
      <c r="Q17" s="17">
        <f>(C31/C37)/1000*K19</f>
        <v>2.5056140209963031E-2</v>
      </c>
      <c r="R17" s="17">
        <f>P5</f>
        <v>10000000</v>
      </c>
      <c r="S17" s="18">
        <f>R17*K15</f>
        <v>15000000</v>
      </c>
    </row>
    <row r="18" spans="1:19" x14ac:dyDescent="0.2">
      <c r="B18" s="11" t="s">
        <v>38</v>
      </c>
      <c r="C18" s="12">
        <v>1.429</v>
      </c>
      <c r="D18" s="4" t="s">
        <v>54</v>
      </c>
      <c r="F18" s="19" t="s">
        <v>59</v>
      </c>
      <c r="G18" s="25">
        <f>G16/G10</f>
        <v>0.99410619101707809</v>
      </c>
      <c r="H18" s="21" t="s">
        <v>60</v>
      </c>
      <c r="J18" s="69" t="s">
        <v>61</v>
      </c>
      <c r="K18" s="70">
        <v>5</v>
      </c>
      <c r="L18" s="71" t="s">
        <v>57</v>
      </c>
      <c r="M18" s="71" t="s">
        <v>36</v>
      </c>
    </row>
    <row r="19" spans="1:19" x14ac:dyDescent="0.2">
      <c r="B19" s="11" t="s">
        <v>37</v>
      </c>
      <c r="C19" s="12">
        <v>1000</v>
      </c>
      <c r="D19" s="4" t="s">
        <v>54</v>
      </c>
      <c r="F19" s="19" t="s">
        <v>62</v>
      </c>
      <c r="G19" s="25">
        <f>G17/G12</f>
        <v>0.82996027560962071</v>
      </c>
      <c r="H19" s="21" t="s">
        <v>60</v>
      </c>
      <c r="J19" s="69" t="s">
        <v>63</v>
      </c>
      <c r="K19" s="70">
        <f>350*24</f>
        <v>8400</v>
      </c>
      <c r="L19" s="71" t="s">
        <v>64</v>
      </c>
      <c r="M19" s="71" t="s">
        <v>65</v>
      </c>
      <c r="O19" s="97" t="s">
        <v>66</v>
      </c>
      <c r="P19" s="93"/>
      <c r="Q19" s="90"/>
    </row>
    <row r="20" spans="1:19" x14ac:dyDescent="0.2">
      <c r="J20" s="69" t="s">
        <v>67</v>
      </c>
      <c r="K20" s="72">
        <v>7.0000000000000007E-2</v>
      </c>
      <c r="L20" s="71" t="s">
        <v>60</v>
      </c>
      <c r="M20" s="71" t="s">
        <v>36</v>
      </c>
      <c r="O20" s="27" t="s">
        <v>68</v>
      </c>
      <c r="P20" s="27" t="s">
        <v>69</v>
      </c>
      <c r="Q20" s="27" t="s">
        <v>20</v>
      </c>
    </row>
    <row r="21" spans="1:19" x14ac:dyDescent="0.2">
      <c r="A21" s="6" t="s">
        <v>189</v>
      </c>
      <c r="B21" s="92" t="s">
        <v>70</v>
      </c>
      <c r="C21" s="93"/>
      <c r="D21" s="90"/>
      <c r="F21" s="2" t="s">
        <v>71</v>
      </c>
      <c r="G21" s="28">
        <v>0.99</v>
      </c>
      <c r="J21" s="69" t="s">
        <v>72</v>
      </c>
      <c r="K21" s="73">
        <f>K20*(1+K20)^K17/((1+K20)^K17-1)</f>
        <v>8.0586403511111196E-2</v>
      </c>
      <c r="L21" s="71" t="s">
        <v>73</v>
      </c>
      <c r="M21" s="71" t="s">
        <v>36</v>
      </c>
      <c r="O21" s="30" t="s">
        <v>74</v>
      </c>
      <c r="P21" s="31">
        <f>C48/10000*K23*(P5/Q17)</f>
        <v>19556084691.973511</v>
      </c>
      <c r="Q21" s="31">
        <f>P21*K21*K26</f>
        <v>1891145438.5018103</v>
      </c>
    </row>
    <row r="22" spans="1:19" x14ac:dyDescent="0.2">
      <c r="A22" s="6" t="s">
        <v>202</v>
      </c>
      <c r="B22" s="8" t="s">
        <v>17</v>
      </c>
      <c r="C22" s="8" t="s">
        <v>21</v>
      </c>
      <c r="D22" s="8" t="s">
        <v>22</v>
      </c>
      <c r="J22" s="69" t="s">
        <v>75</v>
      </c>
      <c r="K22" s="73">
        <f>K20*(1+K20)^K18/((1+K20)^K18-1)</f>
        <v>0.24389069444137401</v>
      </c>
      <c r="L22" s="71" t="s">
        <v>73</v>
      </c>
      <c r="M22" s="71" t="s">
        <v>36</v>
      </c>
      <c r="O22" s="30" t="s">
        <v>76</v>
      </c>
      <c r="P22" s="31">
        <f>K24*C47/10000*($P$5/$Q$17)</f>
        <v>38455311.097099267</v>
      </c>
      <c r="Q22" s="31">
        <f>P22*K22</f>
        <v>9378892.5284306165</v>
      </c>
    </row>
    <row r="23" spans="1:19" x14ac:dyDescent="0.2">
      <c r="A23" s="6" t="s">
        <v>203</v>
      </c>
      <c r="B23" s="92" t="s">
        <v>25</v>
      </c>
      <c r="C23" s="93"/>
      <c r="D23" s="90"/>
      <c r="F23" s="92" t="s">
        <v>77</v>
      </c>
      <c r="G23" s="93"/>
      <c r="H23" s="90"/>
      <c r="J23" s="69" t="s">
        <v>74</v>
      </c>
      <c r="K23" s="74">
        <v>10000</v>
      </c>
      <c r="L23" s="71" t="s">
        <v>78</v>
      </c>
      <c r="M23" s="71" t="s">
        <v>58</v>
      </c>
      <c r="O23" s="30" t="s">
        <v>79</v>
      </c>
      <c r="P23" s="31">
        <f>C46/10000*K25*($P$5/$Q$17)</f>
        <v>90275127.016593963</v>
      </c>
      <c r="Q23" s="31">
        <f>P23*K22</f>
        <v>22017263.418860346</v>
      </c>
    </row>
    <row r="24" spans="1:19" x14ac:dyDescent="0.2">
      <c r="A24" s="6" t="s">
        <v>204</v>
      </c>
      <c r="B24" s="11" t="s">
        <v>80</v>
      </c>
      <c r="C24" s="12">
        <v>70</v>
      </c>
      <c r="D24" s="4" t="s">
        <v>81</v>
      </c>
      <c r="F24" s="8" t="s">
        <v>17</v>
      </c>
      <c r="G24" s="8" t="s">
        <v>21</v>
      </c>
      <c r="H24" s="8" t="s">
        <v>22</v>
      </c>
      <c r="J24" s="69" t="s">
        <v>76</v>
      </c>
      <c r="K24" s="74">
        <f>185/(40*48)/10^-4</f>
        <v>963.54166666666663</v>
      </c>
      <c r="L24" s="71" t="s">
        <v>78</v>
      </c>
      <c r="M24" s="71" t="s">
        <v>82</v>
      </c>
      <c r="O24" s="100" t="s">
        <v>83</v>
      </c>
      <c r="P24" s="101"/>
      <c r="Q24" s="33">
        <f>Q21*K27/(1-K27)</f>
        <v>1018309082.2702055</v>
      </c>
    </row>
    <row r="25" spans="1:19" x14ac:dyDescent="0.2">
      <c r="B25" s="11" t="s">
        <v>200</v>
      </c>
      <c r="C25" s="12">
        <v>500</v>
      </c>
      <c r="D25" s="4" t="s">
        <v>81</v>
      </c>
      <c r="F25" s="92" t="s">
        <v>25</v>
      </c>
      <c r="G25" s="93"/>
      <c r="H25" s="90"/>
      <c r="J25" s="69" t="s">
        <v>84</v>
      </c>
      <c r="K25" s="75">
        <v>180</v>
      </c>
      <c r="L25" s="71" t="s">
        <v>78</v>
      </c>
      <c r="M25" s="71" t="s">
        <v>85</v>
      </c>
      <c r="O25" s="102" t="s">
        <v>86</v>
      </c>
      <c r="P25" s="103"/>
      <c r="Q25" s="34">
        <f>SUM(Q21:Q24)</f>
        <v>2940850676.7193069</v>
      </c>
    </row>
    <row r="26" spans="1:19" x14ac:dyDescent="0.2">
      <c r="B26" s="11" t="s">
        <v>29</v>
      </c>
      <c r="C26" s="12">
        <v>1</v>
      </c>
      <c r="D26" s="4" t="s">
        <v>87</v>
      </c>
      <c r="F26" s="11" t="s">
        <v>88</v>
      </c>
      <c r="G26" s="12">
        <f>C24*60/1000*0.68*C17/C10</f>
        <v>0.11674830417707963</v>
      </c>
      <c r="H26" s="4" t="s">
        <v>89</v>
      </c>
      <c r="J26" s="69" t="s">
        <v>90</v>
      </c>
      <c r="K26" s="75">
        <v>1.2</v>
      </c>
      <c r="L26" s="71" t="s">
        <v>91</v>
      </c>
      <c r="M26" s="71" t="s">
        <v>92</v>
      </c>
    </row>
    <row r="27" spans="1:19" x14ac:dyDescent="0.2">
      <c r="B27" s="11" t="s">
        <v>93</v>
      </c>
      <c r="C27" s="12">
        <v>12.5</v>
      </c>
      <c r="D27" s="4" t="s">
        <v>94</v>
      </c>
      <c r="F27" s="11" t="s">
        <v>95</v>
      </c>
      <c r="G27" s="12">
        <f>C30/C37</f>
        <v>1.1818796963258538E-4</v>
      </c>
      <c r="H27" s="4" t="s">
        <v>89</v>
      </c>
      <c r="J27" s="69" t="s">
        <v>83</v>
      </c>
      <c r="K27" s="76">
        <v>0.35</v>
      </c>
      <c r="L27" s="71" t="s">
        <v>96</v>
      </c>
      <c r="M27" s="71" t="s">
        <v>92</v>
      </c>
      <c r="O27" s="97" t="s">
        <v>97</v>
      </c>
      <c r="P27" s="90"/>
    </row>
    <row r="28" spans="1:19" x14ac:dyDescent="0.2">
      <c r="B28" s="11" t="s">
        <v>98</v>
      </c>
      <c r="C28" s="12">
        <v>12.5</v>
      </c>
      <c r="D28" s="4" t="s">
        <v>94</v>
      </c>
      <c r="F28" s="11" t="s">
        <v>99</v>
      </c>
      <c r="G28" s="12">
        <f>G26-G27</f>
        <v>0.11663011620744704</v>
      </c>
      <c r="H28" s="4" t="s">
        <v>89</v>
      </c>
      <c r="J28" s="105" t="s">
        <v>100</v>
      </c>
      <c r="K28" s="93"/>
      <c r="L28" s="93"/>
      <c r="M28" s="90"/>
      <c r="O28" s="36" t="s">
        <v>23</v>
      </c>
      <c r="P28" s="36" t="s">
        <v>20</v>
      </c>
    </row>
    <row r="29" spans="1:19" x14ac:dyDescent="0.2">
      <c r="B29" s="92" t="s">
        <v>41</v>
      </c>
      <c r="C29" s="93"/>
      <c r="D29" s="90"/>
      <c r="F29" s="11" t="s">
        <v>101</v>
      </c>
      <c r="G29" s="12">
        <f>G28*G21</f>
        <v>0.11546381504537256</v>
      </c>
      <c r="H29" s="4" t="s">
        <v>89</v>
      </c>
      <c r="J29" s="69" t="s">
        <v>102</v>
      </c>
      <c r="K29" s="76">
        <v>2.5000000000000001E-2</v>
      </c>
      <c r="L29" s="71" t="s">
        <v>103</v>
      </c>
      <c r="M29" s="71" t="s">
        <v>85</v>
      </c>
      <c r="O29" s="37" t="s">
        <v>102</v>
      </c>
      <c r="P29" s="31">
        <f>Q25*K29</f>
        <v>73521266.917982683</v>
      </c>
    </row>
    <row r="30" spans="1:19" x14ac:dyDescent="0.2">
      <c r="B30" s="11" t="s">
        <v>42</v>
      </c>
      <c r="C30" s="47">
        <f>C41*(C40)/(2*96485)</f>
        <v>2.3637593926517076E-3</v>
      </c>
      <c r="D30" s="4" t="s">
        <v>104</v>
      </c>
      <c r="F30" s="11" t="s">
        <v>105</v>
      </c>
      <c r="G30" s="12">
        <f>G28*(1-G21)</f>
        <v>1.1663011620744715E-3</v>
      </c>
      <c r="H30" s="4" t="s">
        <v>89</v>
      </c>
      <c r="J30" s="69" t="s">
        <v>106</v>
      </c>
      <c r="K30" s="76">
        <v>0.2</v>
      </c>
      <c r="L30" s="71" t="s">
        <v>107</v>
      </c>
      <c r="M30" s="71" t="s">
        <v>85</v>
      </c>
      <c r="O30" s="37" t="s">
        <v>108</v>
      </c>
      <c r="P30" s="31">
        <f>SUM(S8:S10)*K30</f>
        <v>7716488.3927116664</v>
      </c>
      <c r="S30" s="1"/>
    </row>
    <row r="31" spans="1:19" x14ac:dyDescent="0.2">
      <c r="B31" s="11" t="s">
        <v>48</v>
      </c>
      <c r="C31" s="47">
        <f>C42*(C40/2/96485)*C15</f>
        <v>5.9657476690388157E-2</v>
      </c>
      <c r="D31" s="4" t="s">
        <v>109</v>
      </c>
      <c r="F31" s="11" t="s">
        <v>110</v>
      </c>
      <c r="G31" s="12">
        <f>G27</f>
        <v>1.1818796963258538E-4</v>
      </c>
      <c r="H31" s="4" t="s">
        <v>89</v>
      </c>
      <c r="J31" s="105" t="s">
        <v>111</v>
      </c>
      <c r="K31" s="93"/>
      <c r="L31" s="93"/>
      <c r="M31" s="90"/>
      <c r="O31" s="37" t="s">
        <v>112</v>
      </c>
      <c r="P31" s="31">
        <f>SUM(S14:S16)*K30</f>
        <v>2698727.115723616</v>
      </c>
    </row>
    <row r="32" spans="1:19" x14ac:dyDescent="0.2">
      <c r="F32" s="39" t="s">
        <v>113</v>
      </c>
      <c r="G32" s="40">
        <f>SUM(G30:G31)</f>
        <v>1.2844891317070569E-3</v>
      </c>
      <c r="H32" s="41" t="s">
        <v>89</v>
      </c>
      <c r="J32" s="69" t="s">
        <v>114</v>
      </c>
      <c r="K32" s="70">
        <v>0.11600000000000001</v>
      </c>
      <c r="L32" s="71" t="s">
        <v>115</v>
      </c>
      <c r="M32" s="71" t="s">
        <v>116</v>
      </c>
      <c r="O32" s="42" t="s">
        <v>114</v>
      </c>
      <c r="P32" s="33">
        <f>C39/C37*K19*(P5/Q17)*K32</f>
        <v>0</v>
      </c>
    </row>
    <row r="33" spans="2:20" x14ac:dyDescent="0.2">
      <c r="B33" s="92" t="s">
        <v>195</v>
      </c>
      <c r="C33" s="93"/>
      <c r="D33" s="90"/>
      <c r="F33" s="39" t="s">
        <v>119</v>
      </c>
      <c r="G33" s="40">
        <f>G32/0.68</f>
        <v>1.8889546054515541E-3</v>
      </c>
      <c r="H33" s="41" t="s">
        <v>89</v>
      </c>
      <c r="J33" s="105" t="s">
        <v>176</v>
      </c>
      <c r="K33" s="93"/>
      <c r="L33" s="93"/>
      <c r="M33" s="90"/>
      <c r="O33" s="43" t="s">
        <v>121</v>
      </c>
      <c r="P33" s="34">
        <f>SUM(P29:P32)</f>
        <v>83936482.426417962</v>
      </c>
    </row>
    <row r="34" spans="2:20" x14ac:dyDescent="0.2">
      <c r="B34" s="8" t="s">
        <v>23</v>
      </c>
      <c r="C34" s="8" t="s">
        <v>21</v>
      </c>
      <c r="D34" s="8" t="s">
        <v>22</v>
      </c>
      <c r="F34" s="44" t="s">
        <v>122</v>
      </c>
      <c r="G34" s="45">
        <f>C25*60/1000*0.21*C18/C11</f>
        <v>0.28134492543470385</v>
      </c>
      <c r="H34" s="46" t="s">
        <v>89</v>
      </c>
      <c r="J34" s="11" t="s">
        <v>123</v>
      </c>
      <c r="K34" s="47">
        <f>0.00490337443/K35</f>
        <v>4.1645798757488899E-3</v>
      </c>
      <c r="L34" s="4" t="s">
        <v>124</v>
      </c>
      <c r="M34" s="4" t="s">
        <v>125</v>
      </c>
    </row>
    <row r="35" spans="2:20" x14ac:dyDescent="0.2">
      <c r="B35" s="11" t="s">
        <v>126</v>
      </c>
      <c r="C35" s="12" t="s">
        <v>91</v>
      </c>
      <c r="D35" s="4" t="s">
        <v>91</v>
      </c>
      <c r="F35" s="11" t="s">
        <v>128</v>
      </c>
      <c r="G35" s="12">
        <f>C31/C15/C37</f>
        <v>8.7695473467378361E-5</v>
      </c>
      <c r="H35" s="4" t="s">
        <v>89</v>
      </c>
      <c r="J35" s="11" t="s">
        <v>129</v>
      </c>
      <c r="K35" s="47">
        <v>1.1773995399999999</v>
      </c>
      <c r="L35" s="4" t="s">
        <v>130</v>
      </c>
      <c r="M35" s="4" t="s">
        <v>125</v>
      </c>
      <c r="O35" s="97" t="s">
        <v>131</v>
      </c>
      <c r="P35" s="90"/>
      <c r="R35" s="97" t="s">
        <v>132</v>
      </c>
      <c r="S35" s="90"/>
    </row>
    <row r="36" spans="2:20" x14ac:dyDescent="0.2">
      <c r="B36" s="11" t="s">
        <v>133</v>
      </c>
      <c r="C36" s="12">
        <v>20</v>
      </c>
      <c r="D36" s="4" t="s">
        <v>127</v>
      </c>
      <c r="F36" s="11" t="s">
        <v>134</v>
      </c>
      <c r="G36" s="12">
        <f>G34-G35</f>
        <v>0.28125722996123648</v>
      </c>
      <c r="H36" s="4" t="s">
        <v>89</v>
      </c>
      <c r="O36" s="36" t="s">
        <v>23</v>
      </c>
      <c r="P36" s="36" t="s">
        <v>20</v>
      </c>
      <c r="R36" s="36" t="s">
        <v>23</v>
      </c>
      <c r="S36" s="36" t="s">
        <v>20</v>
      </c>
    </row>
    <row r="37" spans="2:20" x14ac:dyDescent="0.2">
      <c r="B37" s="11" t="s">
        <v>135</v>
      </c>
      <c r="C37" s="12">
        <v>20</v>
      </c>
      <c r="D37" s="4" t="s">
        <v>127</v>
      </c>
      <c r="F37" s="11" t="s">
        <v>136</v>
      </c>
      <c r="G37" s="12">
        <f>G36*G21</f>
        <v>0.27844465766162413</v>
      </c>
      <c r="H37" s="4" t="s">
        <v>89</v>
      </c>
      <c r="O37" s="37" t="s">
        <v>120</v>
      </c>
      <c r="P37" s="31">
        <f>R10*G18*K35*K34</f>
        <v>2042692.3615272522</v>
      </c>
      <c r="R37" s="37" t="s">
        <v>137</v>
      </c>
      <c r="S37" s="31">
        <f>Q25</f>
        <v>2940850676.7193069</v>
      </c>
    </row>
    <row r="38" spans="2:20" x14ac:dyDescent="0.2">
      <c r="B38" s="11" t="s">
        <v>138</v>
      </c>
      <c r="C38" s="12">
        <v>1</v>
      </c>
      <c r="D38" s="4" t="s">
        <v>139</v>
      </c>
      <c r="F38" s="11" t="s">
        <v>140</v>
      </c>
      <c r="G38" s="12">
        <f>G36*(1-G21)</f>
        <v>2.8125722996123672E-3</v>
      </c>
      <c r="H38" s="4" t="s">
        <v>89</v>
      </c>
      <c r="O38" s="43" t="s">
        <v>141</v>
      </c>
      <c r="P38" s="34">
        <f>P37</f>
        <v>2042692.3615272522</v>
      </c>
      <c r="R38" s="37" t="s">
        <v>142</v>
      </c>
      <c r="S38" s="31">
        <f>SUM(S8:S10)+SUM(S14:S16)+P33+P38</f>
        <v>138055252.33012164</v>
      </c>
    </row>
    <row r="39" spans="2:20" x14ac:dyDescent="0.2">
      <c r="B39" s="11" t="s">
        <v>143</v>
      </c>
      <c r="C39" s="12">
        <v>0</v>
      </c>
      <c r="D39" s="4" t="s">
        <v>144</v>
      </c>
      <c r="F39" s="11" t="s">
        <v>145</v>
      </c>
      <c r="G39" s="12">
        <f>G35</f>
        <v>8.7695473467378361E-5</v>
      </c>
      <c r="H39" s="4" t="s">
        <v>89</v>
      </c>
      <c r="R39" s="42" t="s">
        <v>146</v>
      </c>
      <c r="S39" s="33">
        <f>S11+S17</f>
        <v>55449155.192739941</v>
      </c>
    </row>
    <row r="40" spans="2:20" x14ac:dyDescent="0.2">
      <c r="B40" s="11" t="s">
        <v>152</v>
      </c>
      <c r="C40" s="12">
        <f>536.629</f>
        <v>536.62900000000002</v>
      </c>
      <c r="D40" s="4" t="s">
        <v>153</v>
      </c>
      <c r="F40" s="48" t="s">
        <v>150</v>
      </c>
      <c r="G40" s="20">
        <f>SUM(G38:G39)</f>
        <v>2.9002677730797454E-3</v>
      </c>
      <c r="H40" s="21" t="s">
        <v>89</v>
      </c>
      <c r="R40" s="43" t="s">
        <v>151</v>
      </c>
      <c r="S40" s="34">
        <f>S39-SUM(S37:S38)</f>
        <v>-3023456773.8566885</v>
      </c>
    </row>
    <row r="41" spans="2:20" x14ac:dyDescent="0.2">
      <c r="B41" s="11" t="s">
        <v>155</v>
      </c>
      <c r="C41" s="35">
        <v>0.85</v>
      </c>
      <c r="D41" s="4" t="s">
        <v>60</v>
      </c>
      <c r="F41" s="48" t="s">
        <v>205</v>
      </c>
      <c r="G41" s="20">
        <f>G40/0.21</f>
        <v>1.381079891942736E-2</v>
      </c>
      <c r="H41" s="21" t="s">
        <v>89</v>
      </c>
    </row>
    <row r="42" spans="2:20" x14ac:dyDescent="0.2">
      <c r="B42" s="11" t="s">
        <v>157</v>
      </c>
      <c r="C42" s="35">
        <v>0.63070000000000004</v>
      </c>
      <c r="D42" s="4" t="s">
        <v>60</v>
      </c>
      <c r="F42" s="44" t="s">
        <v>154</v>
      </c>
      <c r="G42" s="45">
        <f>C27/1000*C26</f>
        <v>1.2500000000000001E-2</v>
      </c>
      <c r="H42" s="46" t="s">
        <v>89</v>
      </c>
      <c r="O42" s="92" t="s">
        <v>132</v>
      </c>
      <c r="P42" s="93"/>
      <c r="Q42" s="93"/>
      <c r="R42" s="93"/>
      <c r="S42" s="93"/>
      <c r="T42" s="90"/>
    </row>
    <row r="43" spans="2:20" x14ac:dyDescent="0.2">
      <c r="F43" s="11" t="s">
        <v>95</v>
      </c>
      <c r="G43" s="12">
        <f>C30/C37</f>
        <v>1.1818796963258538E-4</v>
      </c>
      <c r="H43" s="4" t="s">
        <v>89</v>
      </c>
      <c r="O43" s="8" t="s">
        <v>159</v>
      </c>
      <c r="P43" s="8" t="s">
        <v>160</v>
      </c>
      <c r="Q43" s="8" t="s">
        <v>161</v>
      </c>
      <c r="R43" s="8" t="s">
        <v>162</v>
      </c>
      <c r="S43" s="8" t="s">
        <v>160</v>
      </c>
      <c r="T43" s="8" t="s">
        <v>161</v>
      </c>
    </row>
    <row r="44" spans="2:20" x14ac:dyDescent="0.2">
      <c r="B44" s="92" t="s">
        <v>165</v>
      </c>
      <c r="C44" s="93"/>
      <c r="D44" s="90"/>
      <c r="F44" s="11" t="s">
        <v>158</v>
      </c>
      <c r="G44" s="12">
        <f>G42-2*G43</f>
        <v>1.2263624060734829E-2</v>
      </c>
      <c r="H44" s="4" t="s">
        <v>89</v>
      </c>
      <c r="O44" s="13" t="s">
        <v>164</v>
      </c>
      <c r="P44" s="31">
        <f>SUM(S8:S10)</f>
        <v>38582441.963558331</v>
      </c>
      <c r="Q44" s="49">
        <f t="shared" ref="Q44:Q54" si="4">P44/$P$5</f>
        <v>3.8582441963558329</v>
      </c>
      <c r="R44" s="5" t="s">
        <v>164</v>
      </c>
      <c r="S44" s="31">
        <f>SUM(S14:S16)</f>
        <v>13493635.578618079</v>
      </c>
      <c r="T44" s="49">
        <f t="shared" ref="T44:T51" si="5">S44/$P$5</f>
        <v>1.3493635578618079</v>
      </c>
    </row>
    <row r="45" spans="2:20" x14ac:dyDescent="0.2">
      <c r="B45" s="8" t="s">
        <v>17</v>
      </c>
      <c r="C45" s="8" t="s">
        <v>21</v>
      </c>
      <c r="D45" s="8" t="s">
        <v>22</v>
      </c>
      <c r="F45" s="11" t="s">
        <v>163</v>
      </c>
      <c r="G45" s="12">
        <f>G44*G21</f>
        <v>1.214098782012748E-2</v>
      </c>
      <c r="H45" s="4" t="s">
        <v>89</v>
      </c>
      <c r="O45" s="13" t="s">
        <v>74</v>
      </c>
      <c r="P45" s="31">
        <f t="shared" ref="P45:P48" si="6">Q21/2</f>
        <v>945572719.25090516</v>
      </c>
      <c r="Q45" s="49">
        <f t="shared" si="4"/>
        <v>94.557271925090518</v>
      </c>
      <c r="R45" s="5" t="s">
        <v>74</v>
      </c>
      <c r="S45" s="31">
        <f t="shared" ref="S45:S48" si="7">Q21/2</f>
        <v>945572719.25090516</v>
      </c>
      <c r="T45" s="49">
        <f t="shared" si="5"/>
        <v>94.557271925090518</v>
      </c>
    </row>
    <row r="46" spans="2:20" x14ac:dyDescent="0.2">
      <c r="B46" s="11" t="s">
        <v>84</v>
      </c>
      <c r="C46" s="12">
        <v>12.566368000000001</v>
      </c>
      <c r="D46" s="4" t="s">
        <v>139</v>
      </c>
      <c r="F46" s="11" t="s">
        <v>166</v>
      </c>
      <c r="G46" s="12">
        <f>G44*(1-G21)</f>
        <v>1.2263624060734841E-4</v>
      </c>
      <c r="H46" s="4" t="s">
        <v>89</v>
      </c>
      <c r="O46" s="13" t="s">
        <v>76</v>
      </c>
      <c r="P46" s="31">
        <f t="shared" si="6"/>
        <v>4689446.2642153082</v>
      </c>
      <c r="Q46" s="49">
        <f t="shared" si="4"/>
        <v>0.46894462642153084</v>
      </c>
      <c r="R46" s="5" t="s">
        <v>76</v>
      </c>
      <c r="S46" s="31">
        <f t="shared" si="7"/>
        <v>4689446.2642153082</v>
      </c>
      <c r="T46" s="49">
        <f t="shared" si="5"/>
        <v>0.46894462642153084</v>
      </c>
    </row>
    <row r="47" spans="2:20" x14ac:dyDescent="0.2">
      <c r="B47" s="11" t="s">
        <v>76</v>
      </c>
      <c r="C47" s="12">
        <v>1</v>
      </c>
      <c r="D47" s="4" t="s">
        <v>139</v>
      </c>
      <c r="F47" s="11" t="s">
        <v>167</v>
      </c>
      <c r="G47" s="12">
        <f>G43*2</f>
        <v>2.3637593926517075E-4</v>
      </c>
      <c r="H47" s="4" t="s">
        <v>89</v>
      </c>
      <c r="O47" s="13" t="s">
        <v>79</v>
      </c>
      <c r="P47" s="31">
        <f t="shared" si="6"/>
        <v>11008631.709430173</v>
      </c>
      <c r="Q47" s="49">
        <f t="shared" si="4"/>
        <v>1.1008631709430172</v>
      </c>
      <c r="R47" s="5" t="s">
        <v>79</v>
      </c>
      <c r="S47" s="31">
        <f t="shared" si="7"/>
        <v>11008631.709430173</v>
      </c>
      <c r="T47" s="49">
        <f t="shared" si="5"/>
        <v>1.1008631709430172</v>
      </c>
    </row>
    <row r="48" spans="2:20" x14ac:dyDescent="0.2">
      <c r="B48" s="11" t="s">
        <v>74</v>
      </c>
      <c r="C48" s="12">
        <v>49</v>
      </c>
      <c r="D48" s="4" t="s">
        <v>139</v>
      </c>
      <c r="F48" s="50" t="s">
        <v>168</v>
      </c>
      <c r="G48" s="51">
        <f>SUM(G46:G47)</f>
        <v>3.5901217987251914E-4</v>
      </c>
      <c r="H48" s="52" t="s">
        <v>89</v>
      </c>
      <c r="O48" s="13" t="s">
        <v>83</v>
      </c>
      <c r="P48" s="31">
        <f t="shared" si="6"/>
        <v>509154541.13510275</v>
      </c>
      <c r="Q48" s="49">
        <f t="shared" si="4"/>
        <v>50.915454113510272</v>
      </c>
      <c r="R48" s="5" t="s">
        <v>83</v>
      </c>
      <c r="S48" s="31">
        <f t="shared" si="7"/>
        <v>509154541.13510275</v>
      </c>
      <c r="T48" s="49">
        <f t="shared" si="5"/>
        <v>50.915454113510272</v>
      </c>
    </row>
    <row r="49" spans="2:20" x14ac:dyDescent="0.2">
      <c r="B49" s="11" t="s">
        <v>171</v>
      </c>
      <c r="C49" s="12">
        <v>2</v>
      </c>
      <c r="D49" s="4" t="s">
        <v>172</v>
      </c>
      <c r="F49" s="53" t="s">
        <v>169</v>
      </c>
      <c r="G49" s="54">
        <f>C27/1000*C19/C13</f>
        <v>0.69385543827239982</v>
      </c>
      <c r="H49" s="55" t="s">
        <v>89</v>
      </c>
      <c r="O49" s="13" t="s">
        <v>102</v>
      </c>
      <c r="P49" s="31">
        <f>P29/2</f>
        <v>36760633.458991341</v>
      </c>
      <c r="Q49" s="49">
        <f t="shared" si="4"/>
        <v>3.6760633458991343</v>
      </c>
      <c r="R49" s="5" t="s">
        <v>102</v>
      </c>
      <c r="S49" s="31">
        <f>P29/2</f>
        <v>36760633.458991341</v>
      </c>
      <c r="T49" s="49">
        <f t="shared" si="5"/>
        <v>3.6760633458991343</v>
      </c>
    </row>
    <row r="50" spans="2:20" x14ac:dyDescent="0.2">
      <c r="B50" s="11" t="s">
        <v>174</v>
      </c>
      <c r="C50" s="12">
        <v>2</v>
      </c>
      <c r="D50" s="4" t="s">
        <v>172</v>
      </c>
      <c r="F50" s="11" t="s">
        <v>170</v>
      </c>
      <c r="G50" s="12">
        <f>G49*(1-G21)</f>
        <v>6.938554382724004E-3</v>
      </c>
      <c r="H50" s="4" t="s">
        <v>89</v>
      </c>
      <c r="O50" s="13" t="s">
        <v>106</v>
      </c>
      <c r="P50" s="31">
        <f>P30</f>
        <v>7716488.3927116664</v>
      </c>
      <c r="Q50" s="49">
        <f t="shared" si="4"/>
        <v>0.77164883927116668</v>
      </c>
      <c r="R50" s="5" t="s">
        <v>106</v>
      </c>
      <c r="S50" s="31">
        <f>P31</f>
        <v>2698727.115723616</v>
      </c>
      <c r="T50" s="49">
        <f t="shared" si="5"/>
        <v>0.26987271157236159</v>
      </c>
    </row>
    <row r="51" spans="2:20" x14ac:dyDescent="0.2">
      <c r="B51" s="11" t="s">
        <v>175</v>
      </c>
      <c r="C51" s="12">
        <v>1</v>
      </c>
      <c r="D51" s="4" t="s">
        <v>172</v>
      </c>
      <c r="F51" s="48" t="s">
        <v>173</v>
      </c>
      <c r="G51" s="20">
        <f>G50</f>
        <v>6.938554382724004E-3</v>
      </c>
      <c r="H51" s="21" t="s">
        <v>89</v>
      </c>
      <c r="O51" s="13" t="s">
        <v>114</v>
      </c>
      <c r="P51" s="31">
        <f>P32/2</f>
        <v>0</v>
      </c>
      <c r="Q51" s="49">
        <f t="shared" si="4"/>
        <v>0</v>
      </c>
      <c r="R51" s="5" t="s">
        <v>114</v>
      </c>
      <c r="S51" s="31">
        <f>P32/2</f>
        <v>0</v>
      </c>
      <c r="T51" s="49">
        <f t="shared" si="5"/>
        <v>0</v>
      </c>
    </row>
    <row r="52" spans="2:20" x14ac:dyDescent="0.2">
      <c r="O52" s="13" t="s">
        <v>176</v>
      </c>
      <c r="P52" s="31">
        <f>P37</f>
        <v>2042692.3615272522</v>
      </c>
      <c r="Q52" s="49">
        <f t="shared" si="4"/>
        <v>0.20426923615272521</v>
      </c>
      <c r="R52" s="5"/>
      <c r="S52" s="31"/>
      <c r="T52" s="49"/>
    </row>
    <row r="53" spans="2:20" x14ac:dyDescent="0.2">
      <c r="O53" s="56" t="s">
        <v>146</v>
      </c>
      <c r="P53" s="33">
        <f>S11</f>
        <v>40449155.192739941</v>
      </c>
      <c r="Q53" s="57">
        <f t="shared" si="4"/>
        <v>4.0449155192739941</v>
      </c>
      <c r="R53" s="68" t="s">
        <v>146</v>
      </c>
      <c r="S53" s="33">
        <f>S17</f>
        <v>15000000</v>
      </c>
      <c r="T53" s="57">
        <f t="shared" ref="T53:T54" si="8">S53/$P$5</f>
        <v>1.5</v>
      </c>
    </row>
    <row r="54" spans="2:20" x14ac:dyDescent="0.2">
      <c r="O54" s="58" t="s">
        <v>151</v>
      </c>
      <c r="P54" s="34">
        <f>P53-SUM(P44:P52)</f>
        <v>-1515078439.3437018</v>
      </c>
      <c r="Q54" s="34">
        <f t="shared" si="4"/>
        <v>-151.50784393437019</v>
      </c>
      <c r="R54" s="59" t="s">
        <v>151</v>
      </c>
      <c r="S54" s="34">
        <f>S53-SUM(S44:S52)</f>
        <v>-1508378334.5129864</v>
      </c>
      <c r="T54" s="34">
        <f t="shared" si="8"/>
        <v>-150.83783345129865</v>
      </c>
    </row>
    <row r="55" spans="2:20" x14ac:dyDescent="0.2">
      <c r="O55" s="19" t="s">
        <v>177</v>
      </c>
      <c r="P55" s="98">
        <f>P54+S54</f>
        <v>-3023456773.8566885</v>
      </c>
      <c r="Q55" s="93"/>
      <c r="R55" s="93"/>
      <c r="S55" s="93"/>
      <c r="T55" s="90"/>
    </row>
    <row r="57" spans="2:20" x14ac:dyDescent="0.2">
      <c r="O57" s="99" t="s">
        <v>178</v>
      </c>
      <c r="P57" s="90"/>
    </row>
    <row r="58" spans="2:20" x14ac:dyDescent="0.2">
      <c r="O58" s="13" t="s">
        <v>164</v>
      </c>
      <c r="P58" s="31">
        <f t="shared" ref="P58:P66" si="9">Q44+T44</f>
        <v>5.2076077542176407</v>
      </c>
    </row>
    <row r="59" spans="2:20" x14ac:dyDescent="0.2">
      <c r="O59" s="13" t="s">
        <v>74</v>
      </c>
      <c r="P59" s="31">
        <f t="shared" si="9"/>
        <v>189.11454385018104</v>
      </c>
    </row>
    <row r="60" spans="2:20" x14ac:dyDescent="0.2">
      <c r="O60" s="13" t="s">
        <v>76</v>
      </c>
      <c r="P60" s="31">
        <f t="shared" si="9"/>
        <v>0.93788925284306168</v>
      </c>
    </row>
    <row r="61" spans="2:20" x14ac:dyDescent="0.2">
      <c r="O61" s="13" t="s">
        <v>79</v>
      </c>
      <c r="P61" s="31">
        <f t="shared" si="9"/>
        <v>2.2017263418860344</v>
      </c>
    </row>
    <row r="62" spans="2:20" x14ac:dyDescent="0.2">
      <c r="O62" s="13" t="s">
        <v>83</v>
      </c>
      <c r="P62" s="31">
        <f t="shared" si="9"/>
        <v>101.83090822702054</v>
      </c>
    </row>
    <row r="63" spans="2:20" x14ac:dyDescent="0.2">
      <c r="O63" s="13" t="s">
        <v>102</v>
      </c>
      <c r="P63" s="31">
        <f t="shared" si="9"/>
        <v>7.3521266917982686</v>
      </c>
    </row>
    <row r="64" spans="2:20" x14ac:dyDescent="0.2">
      <c r="O64" s="13" t="s">
        <v>106</v>
      </c>
      <c r="P64" s="31">
        <f t="shared" si="9"/>
        <v>1.0415215508435283</v>
      </c>
    </row>
    <row r="65" spans="15:16" x14ac:dyDescent="0.2">
      <c r="O65" s="13" t="s">
        <v>114</v>
      </c>
      <c r="P65" s="31">
        <f t="shared" si="9"/>
        <v>0</v>
      </c>
    </row>
    <row r="66" spans="15:16" x14ac:dyDescent="0.2">
      <c r="O66" s="13" t="s">
        <v>176</v>
      </c>
      <c r="P66" s="31">
        <f t="shared" si="9"/>
        <v>0.20426923615272521</v>
      </c>
    </row>
    <row r="67" spans="15:16" x14ac:dyDescent="0.2">
      <c r="O67" s="56" t="s">
        <v>146</v>
      </c>
      <c r="P67" s="33">
        <f>Q53</f>
        <v>4.0449155192739941</v>
      </c>
    </row>
    <row r="68" spans="15:16" x14ac:dyDescent="0.2">
      <c r="O68" s="58" t="s">
        <v>179</v>
      </c>
      <c r="P68" s="34">
        <f>SUM(P58:P66)-P67</f>
        <v>303.84567738566881</v>
      </c>
    </row>
  </sheetData>
  <mergeCells count="33">
    <mergeCell ref="O27:P27"/>
    <mergeCell ref="J28:M28"/>
    <mergeCell ref="B21:D21"/>
    <mergeCell ref="F23:H23"/>
    <mergeCell ref="O24:P24"/>
    <mergeCell ref="F25:H25"/>
    <mergeCell ref="O25:P25"/>
    <mergeCell ref="O35:P35"/>
    <mergeCell ref="R35:S35"/>
    <mergeCell ref="O42:T42"/>
    <mergeCell ref="P55:T55"/>
    <mergeCell ref="O57:P57"/>
    <mergeCell ref="B23:D23"/>
    <mergeCell ref="B29:D29"/>
    <mergeCell ref="B33:D33"/>
    <mergeCell ref="B44:D44"/>
    <mergeCell ref="J31:M31"/>
    <mergeCell ref="J33:M33"/>
    <mergeCell ref="F13:H13"/>
    <mergeCell ref="O14:O16"/>
    <mergeCell ref="B16:D16"/>
    <mergeCell ref="J16:M16"/>
    <mergeCell ref="O19:Q19"/>
    <mergeCell ref="J7:M7"/>
    <mergeCell ref="O8:O10"/>
    <mergeCell ref="J9:M9"/>
    <mergeCell ref="B9:D9"/>
    <mergeCell ref="F9:H9"/>
    <mergeCell ref="B2:C2"/>
    <mergeCell ref="G2:H2"/>
    <mergeCell ref="G3:H3"/>
    <mergeCell ref="B7:D7"/>
    <mergeCell ref="F7:H7"/>
  </mergeCells>
  <phoneticPr fontId="13" type="noConversion"/>
  <conditionalFormatting sqref="S40 P54:Q54 S54:T54 P55:T55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T68"/>
  <sheetViews>
    <sheetView topLeftCell="A21" workbookViewId="0"/>
  </sheetViews>
  <sheetFormatPr defaultColWidth="12.5703125" defaultRowHeight="15.75" customHeight="1" x14ac:dyDescent="0.2"/>
  <cols>
    <col min="2" max="2" width="34" customWidth="1"/>
    <col min="6" max="6" width="25.85546875" customWidth="1"/>
    <col min="7" max="7" width="26.85546875" customWidth="1"/>
    <col min="8" max="8" width="10.42578125" customWidth="1"/>
    <col min="10" max="10" width="27.28515625" customWidth="1"/>
    <col min="11" max="11" width="12.28515625" customWidth="1"/>
    <col min="12" max="12" width="19.28515625" customWidth="1"/>
    <col min="13" max="13" width="12.85546875" customWidth="1"/>
    <col min="15" max="15" width="22.7109375" customWidth="1"/>
    <col min="16" max="16" width="16.140625" customWidth="1"/>
    <col min="17" max="17" width="15.5703125" customWidth="1"/>
    <col min="18" max="18" width="21.5703125" customWidth="1"/>
    <col min="19" max="19" width="14.42578125" customWidth="1"/>
    <col min="20" max="20" width="15.42578125" customWidth="1"/>
  </cols>
  <sheetData>
    <row r="2" spans="2:20" x14ac:dyDescent="0.2">
      <c r="B2" s="89" t="s">
        <v>0</v>
      </c>
      <c r="C2" s="90"/>
      <c r="F2" s="2" t="s">
        <v>1</v>
      </c>
      <c r="G2" s="91" t="s">
        <v>206</v>
      </c>
      <c r="H2" s="90"/>
      <c r="T2" s="1"/>
    </row>
    <row r="3" spans="2:20" x14ac:dyDescent="0.2">
      <c r="B3" s="3" t="s">
        <v>207</v>
      </c>
      <c r="C3" s="4" t="s">
        <v>208</v>
      </c>
      <c r="F3" s="2" t="s">
        <v>5</v>
      </c>
      <c r="G3" s="91" t="s">
        <v>6</v>
      </c>
      <c r="H3" s="90"/>
      <c r="T3" s="1"/>
    </row>
    <row r="4" spans="2:20" x14ac:dyDescent="0.2">
      <c r="B4" s="3" t="s">
        <v>209</v>
      </c>
      <c r="C4" s="4" t="s">
        <v>8</v>
      </c>
      <c r="F4" s="3" t="s">
        <v>9</v>
      </c>
      <c r="G4" s="4">
        <v>3.7699999999999997E-2</v>
      </c>
      <c r="T4" s="1"/>
    </row>
    <row r="5" spans="2:20" x14ac:dyDescent="0.2">
      <c r="B5" s="3" t="s">
        <v>10</v>
      </c>
      <c r="C5" s="4" t="s">
        <v>11</v>
      </c>
      <c r="F5" s="3" t="s">
        <v>12</v>
      </c>
      <c r="G5" s="4">
        <v>0.9</v>
      </c>
      <c r="O5" s="2" t="s">
        <v>13</v>
      </c>
      <c r="P5" s="5">
        <v>10000000</v>
      </c>
      <c r="R5" s="1"/>
      <c r="S5" s="1"/>
    </row>
    <row r="6" spans="2:20" x14ac:dyDescent="0.2">
      <c r="T6" s="1"/>
    </row>
    <row r="7" spans="2:20" x14ac:dyDescent="0.2">
      <c r="B7" s="92" t="s">
        <v>14</v>
      </c>
      <c r="C7" s="93"/>
      <c r="D7" s="90"/>
      <c r="F7" s="92" t="s">
        <v>15</v>
      </c>
      <c r="G7" s="93"/>
      <c r="H7" s="90"/>
      <c r="J7" s="92" t="s">
        <v>16</v>
      </c>
      <c r="K7" s="93"/>
      <c r="L7" s="93"/>
      <c r="M7" s="90"/>
      <c r="O7" s="7" t="s">
        <v>1</v>
      </c>
      <c r="P7" s="7" t="s">
        <v>17</v>
      </c>
      <c r="Q7" s="7" t="s">
        <v>18</v>
      </c>
      <c r="R7" s="7" t="s">
        <v>19</v>
      </c>
      <c r="S7" s="7" t="s">
        <v>20</v>
      </c>
    </row>
    <row r="8" spans="2:20" x14ac:dyDescent="0.2">
      <c r="B8" s="8" t="s">
        <v>17</v>
      </c>
      <c r="C8" s="8" t="s">
        <v>21</v>
      </c>
      <c r="D8" s="8" t="s">
        <v>22</v>
      </c>
      <c r="F8" s="8" t="s">
        <v>17</v>
      </c>
      <c r="G8" s="8" t="s">
        <v>21</v>
      </c>
      <c r="H8" s="8" t="s">
        <v>22</v>
      </c>
      <c r="J8" s="8" t="s">
        <v>23</v>
      </c>
      <c r="K8" s="8" t="s">
        <v>21</v>
      </c>
      <c r="L8" s="8" t="s">
        <v>22</v>
      </c>
      <c r="M8" s="8" t="s">
        <v>24</v>
      </c>
      <c r="O8" s="94" t="s">
        <v>25</v>
      </c>
      <c r="P8" s="9" t="s">
        <v>30</v>
      </c>
      <c r="Q8" s="10">
        <f>G32*C10*K19/1000</f>
        <v>0.64473726517765473</v>
      </c>
      <c r="R8" s="10">
        <f t="shared" ref="R8:R11" si="0">$P$5*(Q8/$Q$17)</f>
        <v>16978702.973482914</v>
      </c>
      <c r="S8" s="10">
        <f>R8*K10</f>
        <v>96439032.889382944</v>
      </c>
    </row>
    <row r="9" spans="2:20" x14ac:dyDescent="0.2">
      <c r="B9" s="92" t="s">
        <v>27</v>
      </c>
      <c r="C9" s="93"/>
      <c r="D9" s="90"/>
      <c r="F9" s="92" t="s">
        <v>25</v>
      </c>
      <c r="G9" s="93"/>
      <c r="H9" s="90"/>
      <c r="J9" s="92" t="s">
        <v>28</v>
      </c>
      <c r="K9" s="93"/>
      <c r="L9" s="93"/>
      <c r="M9" s="90"/>
      <c r="O9" s="95"/>
      <c r="P9" s="9" t="s">
        <v>29</v>
      </c>
      <c r="Q9" s="10">
        <f>G47*C12*K19/1000</f>
        <v>1.7180756536517183</v>
      </c>
      <c r="R9" s="10">
        <f t="shared" si="0"/>
        <v>45244315.451949514</v>
      </c>
      <c r="S9" s="10">
        <f t="shared" ref="S9:S11" si="1">R9*K12</f>
        <v>25789259.80761122</v>
      </c>
    </row>
    <row r="10" spans="2:20" x14ac:dyDescent="0.2">
      <c r="B10" s="11" t="s">
        <v>30</v>
      </c>
      <c r="C10" s="12">
        <v>28.01</v>
      </c>
      <c r="D10" s="4" t="s">
        <v>31</v>
      </c>
      <c r="F10" s="13" t="s">
        <v>32</v>
      </c>
      <c r="G10" s="12">
        <f>C27/1000*C19</f>
        <v>50</v>
      </c>
      <c r="H10" s="4" t="s">
        <v>33</v>
      </c>
      <c r="J10" s="11" t="s">
        <v>30</v>
      </c>
      <c r="K10" s="14">
        <v>5.68</v>
      </c>
      <c r="L10" s="4" t="s">
        <v>35</v>
      </c>
      <c r="M10" s="4" t="s">
        <v>44</v>
      </c>
      <c r="O10" s="96"/>
      <c r="P10" s="9" t="s">
        <v>37</v>
      </c>
      <c r="Q10" s="10">
        <f>G50*C13*K19/1000</f>
        <v>4.2000000000000037</v>
      </c>
      <c r="R10" s="10">
        <f t="shared" si="0"/>
        <v>110604049.64955606</v>
      </c>
      <c r="S10" s="10">
        <f t="shared" si="1"/>
        <v>24332.890922902334</v>
      </c>
    </row>
    <row r="11" spans="2:20" x14ac:dyDescent="0.2">
      <c r="B11" s="11" t="s">
        <v>38</v>
      </c>
      <c r="C11" s="12">
        <v>31.998799999999999</v>
      </c>
      <c r="D11" s="4" t="s">
        <v>31</v>
      </c>
      <c r="F11" s="13" t="s">
        <v>39</v>
      </c>
      <c r="G11" s="12">
        <f>(C27/1000*C26*C12)-(C30*2/C37*C12)</f>
        <v>2.6269870546354355</v>
      </c>
      <c r="H11" s="4" t="s">
        <v>33</v>
      </c>
      <c r="J11" s="11" t="s">
        <v>38</v>
      </c>
      <c r="K11" s="14">
        <f>0.032</f>
        <v>3.2000000000000001E-2</v>
      </c>
      <c r="L11" s="4" t="s">
        <v>35</v>
      </c>
      <c r="M11" s="4" t="s">
        <v>40</v>
      </c>
      <c r="O11" s="15" t="s">
        <v>41</v>
      </c>
      <c r="P11" s="16" t="s">
        <v>42</v>
      </c>
      <c r="Q11" s="17">
        <f>G17/1000*K19</f>
        <v>1.7552274816344173</v>
      </c>
      <c r="R11" s="17">
        <f t="shared" si="0"/>
        <v>46222682.744037658</v>
      </c>
      <c r="S11" s="18">
        <f t="shared" si="1"/>
        <v>41138187.642193519</v>
      </c>
    </row>
    <row r="12" spans="2:20" x14ac:dyDescent="0.2">
      <c r="B12" s="11" t="s">
        <v>29</v>
      </c>
      <c r="C12" s="12">
        <v>56.104999999999997</v>
      </c>
      <c r="D12" s="4" t="s">
        <v>31</v>
      </c>
      <c r="F12" s="13" t="s">
        <v>43</v>
      </c>
      <c r="G12" s="12">
        <f>C30*C14/C37</f>
        <v>0.21956002463336274</v>
      </c>
      <c r="H12" s="4" t="s">
        <v>33</v>
      </c>
      <c r="J12" s="11" t="s">
        <v>29</v>
      </c>
      <c r="K12" s="14">
        <v>0.56999999999999995</v>
      </c>
      <c r="L12" s="4" t="s">
        <v>35</v>
      </c>
      <c r="M12" s="4" t="s">
        <v>44</v>
      </c>
    </row>
    <row r="13" spans="2:20" x14ac:dyDescent="0.2">
      <c r="B13" s="11" t="s">
        <v>37</v>
      </c>
      <c r="C13" s="12">
        <v>18.015280000000001</v>
      </c>
      <c r="D13" s="4" t="s">
        <v>31</v>
      </c>
      <c r="F13" s="92" t="s">
        <v>45</v>
      </c>
      <c r="G13" s="93"/>
      <c r="H13" s="90"/>
      <c r="J13" s="11" t="s">
        <v>37</v>
      </c>
      <c r="K13" s="14">
        <v>2.2000000000000001E-4</v>
      </c>
      <c r="L13" s="4" t="s">
        <v>35</v>
      </c>
      <c r="M13" s="4" t="s">
        <v>46</v>
      </c>
      <c r="O13" s="7" t="s">
        <v>5</v>
      </c>
      <c r="P13" s="7" t="s">
        <v>17</v>
      </c>
      <c r="Q13" s="7" t="s">
        <v>18</v>
      </c>
      <c r="R13" s="7" t="s">
        <v>19</v>
      </c>
      <c r="S13" s="7" t="s">
        <v>20</v>
      </c>
    </row>
    <row r="14" spans="2:20" x14ac:dyDescent="0.2">
      <c r="B14" s="11" t="s">
        <v>42</v>
      </c>
      <c r="C14" s="12">
        <v>138.20500000000001</v>
      </c>
      <c r="D14" s="4" t="s">
        <v>31</v>
      </c>
      <c r="F14" s="13" t="s">
        <v>47</v>
      </c>
      <c r="G14" s="12">
        <f>(1-G5)*G11/(G5*(1+G4))</f>
        <v>0.28128307845721146</v>
      </c>
      <c r="H14" s="4" t="s">
        <v>33</v>
      </c>
      <c r="J14" s="11" t="s">
        <v>42</v>
      </c>
      <c r="K14" s="14">
        <v>0.89</v>
      </c>
      <c r="L14" s="4" t="s">
        <v>35</v>
      </c>
      <c r="M14" s="4" t="s">
        <v>44</v>
      </c>
      <c r="O14" s="94" t="s">
        <v>25</v>
      </c>
      <c r="P14" s="9" t="s">
        <v>38</v>
      </c>
      <c r="Q14" s="10">
        <f>G40*C11*K19/1000</f>
        <v>3.9547428489611103</v>
      </c>
      <c r="R14" s="10">
        <f t="shared" ref="R14:R16" si="2">$P$5*(Q14/$Q$17)</f>
        <v>104145374.86136213</v>
      </c>
      <c r="S14" s="10">
        <f t="shared" ref="S14:S16" si="3">R14*K11</f>
        <v>3332651.9955635881</v>
      </c>
      <c r="T14" s="1"/>
    </row>
    <row r="15" spans="2:20" x14ac:dyDescent="0.2">
      <c r="B15" s="11" t="s">
        <v>48</v>
      </c>
      <c r="C15" s="12">
        <v>34.014000000000003</v>
      </c>
      <c r="D15" s="4" t="s">
        <v>31</v>
      </c>
      <c r="F15" s="13" t="s">
        <v>49</v>
      </c>
      <c r="G15" s="12">
        <f>G14*G4</f>
        <v>1.0604372057836872E-2</v>
      </c>
      <c r="H15" s="4" t="s">
        <v>33</v>
      </c>
      <c r="J15" s="11" t="s">
        <v>48</v>
      </c>
      <c r="K15" s="14">
        <v>1.5</v>
      </c>
      <c r="L15" s="4" t="s">
        <v>35</v>
      </c>
      <c r="M15" s="4" t="s">
        <v>50</v>
      </c>
      <c r="O15" s="95"/>
      <c r="P15" s="9" t="s">
        <v>29</v>
      </c>
      <c r="Q15" s="10">
        <f>G41*(1-G21)*C12*K19/1000</f>
        <v>0.23564100000000018</v>
      </c>
      <c r="R15" s="10">
        <f t="shared" si="2"/>
        <v>6205440.2055883417</v>
      </c>
      <c r="S15" s="10">
        <f t="shared" si="3"/>
        <v>3537100.9171853545</v>
      </c>
    </row>
    <row r="16" spans="2:20" x14ac:dyDescent="0.2">
      <c r="B16" s="92" t="s">
        <v>51</v>
      </c>
      <c r="C16" s="93"/>
      <c r="D16" s="90"/>
      <c r="F16" s="19" t="s">
        <v>52</v>
      </c>
      <c r="G16" s="20">
        <f>G10-G14</f>
        <v>49.718716921542786</v>
      </c>
      <c r="H16" s="21" t="s">
        <v>33</v>
      </c>
      <c r="J16" s="92" t="s">
        <v>53</v>
      </c>
      <c r="K16" s="93"/>
      <c r="L16" s="93"/>
      <c r="M16" s="90"/>
      <c r="O16" s="96"/>
      <c r="P16" s="22" t="s">
        <v>37</v>
      </c>
      <c r="Q16" s="23">
        <f>G50*C13*K19/1000</f>
        <v>4.2000000000000037</v>
      </c>
      <c r="R16" s="24">
        <f t="shared" si="2"/>
        <v>110604049.64955606</v>
      </c>
      <c r="S16" s="23">
        <f t="shared" si="3"/>
        <v>24332.890922902334</v>
      </c>
    </row>
    <row r="17" spans="2:20" x14ac:dyDescent="0.2">
      <c r="B17" s="11" t="s">
        <v>30</v>
      </c>
      <c r="C17" s="12">
        <v>1.145</v>
      </c>
      <c r="D17" s="4" t="s">
        <v>54</v>
      </c>
      <c r="F17" s="19" t="s">
        <v>55</v>
      </c>
      <c r="G17" s="20">
        <f>G12-G15</f>
        <v>0.20895565257552587</v>
      </c>
      <c r="H17" s="21" t="s">
        <v>33</v>
      </c>
      <c r="J17" s="11" t="s">
        <v>56</v>
      </c>
      <c r="K17" s="14">
        <v>30</v>
      </c>
      <c r="L17" s="4" t="s">
        <v>57</v>
      </c>
      <c r="M17" s="4" t="s">
        <v>58</v>
      </c>
      <c r="O17" s="15" t="s">
        <v>41</v>
      </c>
      <c r="P17" s="16" t="s">
        <v>48</v>
      </c>
      <c r="Q17" s="17">
        <f>(C31/C37)/1000*K19</f>
        <v>0.37973293141684367</v>
      </c>
      <c r="R17" s="17">
        <f>P5</f>
        <v>10000000</v>
      </c>
      <c r="S17" s="18">
        <f>R17*K15</f>
        <v>15000000</v>
      </c>
    </row>
    <row r="18" spans="2:20" x14ac:dyDescent="0.2">
      <c r="B18" s="11" t="s">
        <v>38</v>
      </c>
      <c r="C18" s="12">
        <v>1.429</v>
      </c>
      <c r="D18" s="4" t="s">
        <v>54</v>
      </c>
      <c r="F18" s="19" t="s">
        <v>59</v>
      </c>
      <c r="G18" s="25">
        <f>G16/G10</f>
        <v>0.99437433843085576</v>
      </c>
      <c r="H18" s="21" t="s">
        <v>60</v>
      </c>
      <c r="J18" s="11" t="s">
        <v>61</v>
      </c>
      <c r="K18" s="14">
        <v>5</v>
      </c>
      <c r="L18" s="4" t="s">
        <v>57</v>
      </c>
      <c r="M18" s="4" t="s">
        <v>36</v>
      </c>
    </row>
    <row r="19" spans="2:20" x14ac:dyDescent="0.2">
      <c r="B19" s="11" t="s">
        <v>37</v>
      </c>
      <c r="C19" s="12">
        <v>1000</v>
      </c>
      <c r="D19" s="4" t="s">
        <v>54</v>
      </c>
      <c r="F19" s="19" t="s">
        <v>62</v>
      </c>
      <c r="G19" s="25">
        <f>G17/G12</f>
        <v>0.95170171767130729</v>
      </c>
      <c r="H19" s="21" t="s">
        <v>60</v>
      </c>
      <c r="J19" s="11" t="s">
        <v>63</v>
      </c>
      <c r="K19" s="14">
        <f>350*24</f>
        <v>8400</v>
      </c>
      <c r="L19" s="4" t="s">
        <v>64</v>
      </c>
      <c r="M19" s="4" t="s">
        <v>65</v>
      </c>
      <c r="O19" s="97" t="s">
        <v>66</v>
      </c>
      <c r="P19" s="93"/>
      <c r="Q19" s="90"/>
    </row>
    <row r="20" spans="2:20" x14ac:dyDescent="0.2">
      <c r="J20" s="11" t="s">
        <v>67</v>
      </c>
      <c r="K20" s="26">
        <v>7.0000000000000007E-2</v>
      </c>
      <c r="L20" s="4" t="s">
        <v>60</v>
      </c>
      <c r="M20" s="4" t="s">
        <v>36</v>
      </c>
      <c r="O20" s="27" t="s">
        <v>68</v>
      </c>
      <c r="P20" s="27" t="s">
        <v>69</v>
      </c>
      <c r="Q20" s="27" t="s">
        <v>20</v>
      </c>
    </row>
    <row r="21" spans="2:20" x14ac:dyDescent="0.2">
      <c r="B21" s="92" t="s">
        <v>70</v>
      </c>
      <c r="C21" s="93"/>
      <c r="D21" s="90"/>
      <c r="F21" s="2" t="s">
        <v>71</v>
      </c>
      <c r="G21" s="28">
        <v>0.99</v>
      </c>
      <c r="J21" s="11" t="s">
        <v>72</v>
      </c>
      <c r="K21" s="29">
        <f>K20*(1+K20)^K17/((1+K20)^K17-1)</f>
        <v>8.0586403511111196E-2</v>
      </c>
      <c r="L21" s="4" t="s">
        <v>73</v>
      </c>
      <c r="M21" s="4" t="s">
        <v>36</v>
      </c>
      <c r="O21" s="30" t="s">
        <v>74</v>
      </c>
      <c r="P21" s="31">
        <f>C49/10000*K23*(P5/Q17)</f>
        <v>1290380579.2448194</v>
      </c>
      <c r="Q21" s="31">
        <f>P21*K21*K26</f>
        <v>124784556.0503093</v>
      </c>
    </row>
    <row r="22" spans="2:20" x14ac:dyDescent="0.2">
      <c r="B22" s="8" t="s">
        <v>17</v>
      </c>
      <c r="C22" s="8" t="s">
        <v>21</v>
      </c>
      <c r="D22" s="8" t="s">
        <v>22</v>
      </c>
      <c r="J22" s="11" t="s">
        <v>75</v>
      </c>
      <c r="K22" s="29">
        <f>K20*(1+K20)^K18/((1+K20)^K18-1)</f>
        <v>0.24389069444137401</v>
      </c>
      <c r="L22" s="4" t="s">
        <v>73</v>
      </c>
      <c r="M22" s="4" t="s">
        <v>36</v>
      </c>
      <c r="O22" s="30" t="s">
        <v>76</v>
      </c>
      <c r="P22" s="31">
        <f>K24*C48/10000*($P$5/$Q$17)</f>
        <v>2537419.2937956164</v>
      </c>
      <c r="Q22" s="31">
        <f>P22*K22</f>
        <v>618852.95365275373</v>
      </c>
    </row>
    <row r="23" spans="2:20" x14ac:dyDescent="0.2">
      <c r="B23" s="92" t="s">
        <v>25</v>
      </c>
      <c r="C23" s="93"/>
      <c r="D23" s="90"/>
      <c r="F23" s="92" t="s">
        <v>77</v>
      </c>
      <c r="G23" s="93"/>
      <c r="H23" s="90"/>
      <c r="J23" s="11" t="s">
        <v>74</v>
      </c>
      <c r="K23" s="32">
        <v>10000</v>
      </c>
      <c r="L23" s="4" t="s">
        <v>78</v>
      </c>
      <c r="M23" s="4" t="s">
        <v>58</v>
      </c>
      <c r="O23" s="30" t="s">
        <v>79</v>
      </c>
      <c r="P23" s="31">
        <f>C47/10000*K25*($P$5/$Q$17)</f>
        <v>5956676.5293711051</v>
      </c>
      <c r="Q23" s="31">
        <f>P23*K22</f>
        <v>1452777.9753109524</v>
      </c>
    </row>
    <row r="24" spans="2:20" x14ac:dyDescent="0.2">
      <c r="B24" s="11" t="s">
        <v>30</v>
      </c>
      <c r="C24" s="12">
        <v>70</v>
      </c>
      <c r="D24" s="4" t="s">
        <v>81</v>
      </c>
      <c r="F24" s="8" t="s">
        <v>17</v>
      </c>
      <c r="G24" s="8" t="s">
        <v>21</v>
      </c>
      <c r="H24" s="8" t="s">
        <v>22</v>
      </c>
      <c r="J24" s="11" t="s">
        <v>76</v>
      </c>
      <c r="K24" s="32">
        <f>185/(40*48)/10^-4</f>
        <v>963.54166666666663</v>
      </c>
      <c r="L24" s="4" t="s">
        <v>78</v>
      </c>
      <c r="M24" s="4" t="s">
        <v>82</v>
      </c>
      <c r="O24" s="100" t="s">
        <v>83</v>
      </c>
      <c r="P24" s="101"/>
      <c r="Q24" s="33">
        <f>Q21*K27/(1-K27)</f>
        <v>67191684.027089611</v>
      </c>
    </row>
    <row r="25" spans="2:20" x14ac:dyDescent="0.2">
      <c r="B25" s="11" t="s">
        <v>38</v>
      </c>
      <c r="C25" s="12">
        <v>500</v>
      </c>
      <c r="D25" s="4" t="s">
        <v>81</v>
      </c>
      <c r="F25" s="92" t="s">
        <v>25</v>
      </c>
      <c r="G25" s="93"/>
      <c r="H25" s="90"/>
      <c r="J25" s="11" t="s">
        <v>84</v>
      </c>
      <c r="K25" s="12">
        <v>180</v>
      </c>
      <c r="L25" s="4" t="s">
        <v>78</v>
      </c>
      <c r="M25" s="4" t="s">
        <v>85</v>
      </c>
      <c r="O25" s="102" t="s">
        <v>86</v>
      </c>
      <c r="P25" s="103"/>
      <c r="Q25" s="34">
        <f>SUM(Q21:Q24)</f>
        <v>194047871.00636262</v>
      </c>
    </row>
    <row r="26" spans="2:20" x14ac:dyDescent="0.2">
      <c r="B26" s="11" t="s">
        <v>29</v>
      </c>
      <c r="C26" s="12">
        <v>1</v>
      </c>
      <c r="D26" s="4" t="s">
        <v>87</v>
      </c>
      <c r="F26" s="11" t="s">
        <v>88</v>
      </c>
      <c r="G26" s="12">
        <f>C24*60/1000*0.68*C17/C10</f>
        <v>0.11674830417707963</v>
      </c>
      <c r="H26" s="4" t="s">
        <v>89</v>
      </c>
      <c r="J26" s="11" t="s">
        <v>90</v>
      </c>
      <c r="K26" s="12">
        <v>1.2</v>
      </c>
      <c r="L26" s="4" t="s">
        <v>91</v>
      </c>
      <c r="M26" s="4" t="s">
        <v>92</v>
      </c>
    </row>
    <row r="27" spans="2:20" x14ac:dyDescent="0.2">
      <c r="B27" s="11" t="s">
        <v>93</v>
      </c>
      <c r="C27" s="12">
        <v>50</v>
      </c>
      <c r="D27" s="4" t="s">
        <v>94</v>
      </c>
      <c r="F27" s="11" t="s">
        <v>95</v>
      </c>
      <c r="G27" s="12">
        <f>C30/C37</f>
        <v>1.5886547131678502E-3</v>
      </c>
      <c r="H27" s="4" t="s">
        <v>89</v>
      </c>
      <c r="J27" s="11" t="s">
        <v>83</v>
      </c>
      <c r="K27" s="35">
        <v>0.35</v>
      </c>
      <c r="L27" s="4" t="s">
        <v>96</v>
      </c>
      <c r="M27" s="4" t="s">
        <v>92</v>
      </c>
      <c r="O27" s="97" t="s">
        <v>97</v>
      </c>
      <c r="P27" s="90"/>
    </row>
    <row r="28" spans="2:20" x14ac:dyDescent="0.2">
      <c r="B28" s="11" t="s">
        <v>98</v>
      </c>
      <c r="C28" s="12">
        <v>50</v>
      </c>
      <c r="D28" s="4" t="s">
        <v>94</v>
      </c>
      <c r="F28" s="11" t="s">
        <v>99</v>
      </c>
      <c r="G28" s="12">
        <f>G26-G27</f>
        <v>0.11515964946391177</v>
      </c>
      <c r="H28" s="4" t="s">
        <v>89</v>
      </c>
      <c r="J28" s="92" t="s">
        <v>100</v>
      </c>
      <c r="K28" s="93"/>
      <c r="L28" s="93"/>
      <c r="M28" s="90"/>
      <c r="O28" s="36" t="s">
        <v>23</v>
      </c>
      <c r="P28" s="36" t="s">
        <v>20</v>
      </c>
    </row>
    <row r="29" spans="2:20" x14ac:dyDescent="0.2">
      <c r="B29" s="92" t="s">
        <v>41</v>
      </c>
      <c r="C29" s="93"/>
      <c r="D29" s="90"/>
      <c r="F29" s="11" t="s">
        <v>101</v>
      </c>
      <c r="G29" s="12">
        <f>G28*G21</f>
        <v>0.11400805296927266</v>
      </c>
      <c r="H29" s="4" t="s">
        <v>89</v>
      </c>
      <c r="J29" s="11" t="s">
        <v>102</v>
      </c>
      <c r="K29" s="35">
        <v>2.5000000000000001E-2</v>
      </c>
      <c r="L29" s="4" t="s">
        <v>103</v>
      </c>
      <c r="M29" s="4" t="s">
        <v>85</v>
      </c>
      <c r="O29" s="37" t="s">
        <v>102</v>
      </c>
      <c r="P29" s="31">
        <f>Q25*K29</f>
        <v>4851196.7751590656</v>
      </c>
      <c r="T29" s="1"/>
    </row>
    <row r="30" spans="2:20" x14ac:dyDescent="0.2">
      <c r="B30" s="11" t="s">
        <v>42</v>
      </c>
      <c r="C30" s="47">
        <f>C41*(C42)/(2*96485)</f>
        <v>4.7659641395035503E-3</v>
      </c>
      <c r="D30" s="4" t="s">
        <v>104</v>
      </c>
      <c r="F30" s="11" t="s">
        <v>105</v>
      </c>
      <c r="G30" s="12">
        <f>G28*(1-G21)</f>
        <v>1.1515964946391187E-3</v>
      </c>
      <c r="H30" s="4" t="s">
        <v>89</v>
      </c>
      <c r="J30" s="11" t="s">
        <v>106</v>
      </c>
      <c r="K30" s="35">
        <v>0.2</v>
      </c>
      <c r="L30" s="4" t="s">
        <v>107</v>
      </c>
      <c r="M30" s="4" t="s">
        <v>85</v>
      </c>
      <c r="O30" s="37" t="s">
        <v>108</v>
      </c>
      <c r="P30" s="31">
        <f>SUM(S8:S10)*K30</f>
        <v>24450525.117583413</v>
      </c>
      <c r="T30" s="1"/>
    </row>
    <row r="31" spans="2:20" x14ac:dyDescent="0.2">
      <c r="B31" s="11" t="s">
        <v>48</v>
      </c>
      <c r="C31" s="47">
        <f>C43*(C41/2/96485)*C15</f>
        <v>0.13561890407744417</v>
      </c>
      <c r="D31" s="4" t="s">
        <v>109</v>
      </c>
      <c r="F31" s="11" t="s">
        <v>110</v>
      </c>
      <c r="G31" s="12">
        <f>G27</f>
        <v>1.5886547131678502E-3</v>
      </c>
      <c r="H31" s="4" t="s">
        <v>89</v>
      </c>
      <c r="J31" s="92" t="s">
        <v>111</v>
      </c>
      <c r="K31" s="93"/>
      <c r="L31" s="93"/>
      <c r="M31" s="90"/>
      <c r="O31" s="37" t="s">
        <v>112</v>
      </c>
      <c r="P31" s="31">
        <f>SUM(S14:S16)*K30</f>
        <v>1378817.160734369</v>
      </c>
    </row>
    <row r="32" spans="2:20" x14ac:dyDescent="0.2">
      <c r="F32" s="39" t="s">
        <v>113</v>
      </c>
      <c r="G32" s="40">
        <f>SUM(G30:G31)</f>
        <v>2.7402512078069687E-3</v>
      </c>
      <c r="H32" s="41" t="s">
        <v>89</v>
      </c>
      <c r="J32" s="11" t="s">
        <v>114</v>
      </c>
      <c r="K32" s="14">
        <v>0.11600000000000001</v>
      </c>
      <c r="L32" s="4" t="s">
        <v>115</v>
      </c>
      <c r="M32" s="4" t="s">
        <v>116</v>
      </c>
      <c r="O32" s="42" t="s">
        <v>114</v>
      </c>
      <c r="P32" s="33">
        <f>C39/C37*K19*(P5/Q17)*K32</f>
        <v>2308557.2186987717</v>
      </c>
      <c r="S32" s="6" t="s">
        <v>117</v>
      </c>
    </row>
    <row r="33" spans="2:20" x14ac:dyDescent="0.2">
      <c r="B33" s="92" t="s">
        <v>118</v>
      </c>
      <c r="C33" s="93"/>
      <c r="D33" s="90"/>
      <c r="F33" s="39" t="s">
        <v>119</v>
      </c>
      <c r="G33" s="40">
        <f>G32/0.68</f>
        <v>4.029781187951424E-3</v>
      </c>
      <c r="H33" s="41" t="s">
        <v>89</v>
      </c>
      <c r="J33" s="92" t="s">
        <v>120</v>
      </c>
      <c r="K33" s="93"/>
      <c r="L33" s="93"/>
      <c r="M33" s="90"/>
      <c r="O33" s="43" t="s">
        <v>121</v>
      </c>
      <c r="P33" s="34">
        <f>SUM(P29:P32)</f>
        <v>32989096.272175618</v>
      </c>
    </row>
    <row r="34" spans="2:20" x14ac:dyDescent="0.2">
      <c r="B34" s="8" t="s">
        <v>23</v>
      </c>
      <c r="C34" s="8" t="s">
        <v>21</v>
      </c>
      <c r="D34" s="8" t="s">
        <v>22</v>
      </c>
      <c r="F34" s="44" t="s">
        <v>122</v>
      </c>
      <c r="G34" s="45">
        <f>C25*60/1000*C18/C11</f>
        <v>1.3397377401652564</v>
      </c>
      <c r="H34" s="46" t="s">
        <v>89</v>
      </c>
      <c r="J34" s="11" t="s">
        <v>123</v>
      </c>
      <c r="K34" s="47">
        <f>0.00490337443/K35</f>
        <v>4.1645798757488899E-3</v>
      </c>
      <c r="L34" s="4" t="s">
        <v>124</v>
      </c>
      <c r="M34" s="4" t="s">
        <v>125</v>
      </c>
    </row>
    <row r="35" spans="2:20" x14ac:dyDescent="0.2">
      <c r="B35" s="11" t="s">
        <v>126</v>
      </c>
      <c r="C35" s="12">
        <v>0.6</v>
      </c>
      <c r="D35" s="4" t="s">
        <v>127</v>
      </c>
      <c r="F35" s="11" t="s">
        <v>128</v>
      </c>
      <c r="G35" s="12">
        <f>C31/C15/C37</f>
        <v>1.3290498429807743E-3</v>
      </c>
      <c r="H35" s="4" t="s">
        <v>89</v>
      </c>
      <c r="J35" s="11" t="s">
        <v>129</v>
      </c>
      <c r="K35" s="47">
        <v>1.1773995399999999</v>
      </c>
      <c r="L35" s="4" t="s">
        <v>130</v>
      </c>
      <c r="M35" s="4" t="s">
        <v>125</v>
      </c>
      <c r="O35" s="97" t="s">
        <v>131</v>
      </c>
      <c r="P35" s="90"/>
      <c r="R35" s="97" t="s">
        <v>132</v>
      </c>
      <c r="S35" s="90"/>
    </row>
    <row r="36" spans="2:20" x14ac:dyDescent="0.2">
      <c r="B36" s="11" t="s">
        <v>133</v>
      </c>
      <c r="C36" s="12">
        <v>2.4</v>
      </c>
      <c r="D36" s="4" t="s">
        <v>127</v>
      </c>
      <c r="F36" s="11" t="s">
        <v>134</v>
      </c>
      <c r="G36" s="12">
        <f>G34-G35</f>
        <v>1.3384086903222756</v>
      </c>
      <c r="H36" s="4" t="s">
        <v>89</v>
      </c>
      <c r="O36" s="36" t="s">
        <v>23</v>
      </c>
      <c r="P36" s="36" t="s">
        <v>20</v>
      </c>
      <c r="R36" s="36" t="s">
        <v>23</v>
      </c>
      <c r="S36" s="36" t="s">
        <v>20</v>
      </c>
    </row>
    <row r="37" spans="2:20" x14ac:dyDescent="0.2">
      <c r="B37" s="11" t="s">
        <v>135</v>
      </c>
      <c r="C37" s="12">
        <v>3</v>
      </c>
      <c r="D37" s="4" t="s">
        <v>127</v>
      </c>
      <c r="F37" s="11" t="s">
        <v>136</v>
      </c>
      <c r="G37" s="12">
        <f>G36*G21</f>
        <v>1.3250246034190529</v>
      </c>
      <c r="H37" s="4" t="s">
        <v>89</v>
      </c>
      <c r="O37" s="37" t="s">
        <v>120</v>
      </c>
      <c r="P37" s="31">
        <f>R10*G18*K35*K34</f>
        <v>539282.08660266257</v>
      </c>
      <c r="R37" s="37" t="s">
        <v>137</v>
      </c>
      <c r="S37" s="31">
        <f>Q25</f>
        <v>194047871.00636262</v>
      </c>
    </row>
    <row r="38" spans="2:20" x14ac:dyDescent="0.2">
      <c r="B38" s="11" t="s">
        <v>138</v>
      </c>
      <c r="C38" s="12">
        <v>1</v>
      </c>
      <c r="D38" s="4" t="s">
        <v>139</v>
      </c>
      <c r="F38" s="11" t="s">
        <v>140</v>
      </c>
      <c r="G38" s="12">
        <f>G36*(1-G21)</f>
        <v>1.3384086903222767E-2</v>
      </c>
      <c r="H38" s="4" t="s">
        <v>89</v>
      </c>
      <c r="O38" s="43" t="s">
        <v>141</v>
      </c>
      <c r="P38" s="34">
        <f>SUM(P35:P37)</f>
        <v>539282.08660266257</v>
      </c>
      <c r="R38" s="37" t="s">
        <v>142</v>
      </c>
      <c r="S38" s="31">
        <f>SUM(S8:S10)+SUM(S14:S16)+P33+P38</f>
        <v>162675089.75036716</v>
      </c>
    </row>
    <row r="39" spans="2:20" x14ac:dyDescent="0.2">
      <c r="B39" s="11" t="s">
        <v>143</v>
      </c>
      <c r="C39" s="12">
        <v>2.699E-4</v>
      </c>
      <c r="D39" s="4" t="s">
        <v>144</v>
      </c>
      <c r="F39" s="11" t="s">
        <v>145</v>
      </c>
      <c r="G39" s="12">
        <f>G35</f>
        <v>1.3290498429807743E-3</v>
      </c>
      <c r="H39" s="4" t="s">
        <v>89</v>
      </c>
      <c r="R39" s="42" t="s">
        <v>146</v>
      </c>
      <c r="S39" s="33">
        <f>S11+S17</f>
        <v>56138187.642193519</v>
      </c>
    </row>
    <row r="40" spans="2:20" x14ac:dyDescent="0.2">
      <c r="B40" s="11" t="s">
        <v>147</v>
      </c>
      <c r="C40" s="12"/>
      <c r="D40" s="4" t="s">
        <v>149</v>
      </c>
      <c r="F40" s="48" t="s">
        <v>150</v>
      </c>
      <c r="G40" s="20">
        <f>SUM(G38:G39)</f>
        <v>1.4713136746203542E-2</v>
      </c>
      <c r="H40" s="21" t="s">
        <v>89</v>
      </c>
      <c r="R40" s="43" t="s">
        <v>151</v>
      </c>
      <c r="S40" s="34">
        <f>S39-SUM(S37:S38)</f>
        <v>-300584773.11453629</v>
      </c>
    </row>
    <row r="41" spans="2:20" x14ac:dyDescent="0.2">
      <c r="B41" s="11" t="s">
        <v>152</v>
      </c>
      <c r="C41" s="12">
        <f>1081.986</f>
        <v>1081.9860000000001</v>
      </c>
      <c r="D41" s="4" t="s">
        <v>153</v>
      </c>
      <c r="F41" s="44" t="s">
        <v>154</v>
      </c>
      <c r="G41" s="45">
        <f>C27/1000*C26</f>
        <v>0.05</v>
      </c>
      <c r="H41" s="46" t="s">
        <v>89</v>
      </c>
    </row>
    <row r="42" spans="2:20" x14ac:dyDescent="0.2">
      <c r="B42" s="11" t="s">
        <v>155</v>
      </c>
      <c r="C42" s="35">
        <v>0.85</v>
      </c>
      <c r="D42" s="4" t="s">
        <v>60</v>
      </c>
      <c r="F42" s="11" t="s">
        <v>95</v>
      </c>
      <c r="G42" s="12">
        <f>C30/C37</f>
        <v>1.5886547131678502E-3</v>
      </c>
      <c r="H42" s="4" t="s">
        <v>89</v>
      </c>
      <c r="O42" s="92" t="s">
        <v>156</v>
      </c>
      <c r="P42" s="93"/>
      <c r="Q42" s="93"/>
      <c r="R42" s="93"/>
      <c r="S42" s="93"/>
      <c r="T42" s="90"/>
    </row>
    <row r="43" spans="2:20" x14ac:dyDescent="0.2">
      <c r="B43" s="11" t="s">
        <v>157</v>
      </c>
      <c r="C43" s="35">
        <v>0.71109999999999995</v>
      </c>
      <c r="D43" s="4" t="s">
        <v>60</v>
      </c>
      <c r="F43" s="11" t="s">
        <v>158</v>
      </c>
      <c r="G43" s="12">
        <f>G41-2*G42</f>
        <v>4.6822690573664304E-2</v>
      </c>
      <c r="H43" s="4" t="s">
        <v>89</v>
      </c>
      <c r="O43" s="8" t="s">
        <v>159</v>
      </c>
      <c r="P43" s="8" t="s">
        <v>160</v>
      </c>
      <c r="Q43" s="8" t="s">
        <v>161</v>
      </c>
      <c r="R43" s="8" t="s">
        <v>162</v>
      </c>
      <c r="S43" s="8" t="s">
        <v>160</v>
      </c>
      <c r="T43" s="8" t="s">
        <v>161</v>
      </c>
    </row>
    <row r="44" spans="2:20" x14ac:dyDescent="0.2">
      <c r="F44" s="11" t="s">
        <v>163</v>
      </c>
      <c r="G44" s="12">
        <f>G43*G21</f>
        <v>4.6354463667927663E-2</v>
      </c>
      <c r="H44" s="4" t="s">
        <v>89</v>
      </c>
      <c r="O44" s="13" t="s">
        <v>164</v>
      </c>
      <c r="P44" s="31">
        <f>SUM(S8:S10)</f>
        <v>122252625.58791706</v>
      </c>
      <c r="Q44" s="49">
        <f t="shared" ref="Q44:Q54" si="4">P44/$P$5</f>
        <v>12.225262558791705</v>
      </c>
      <c r="R44" s="5" t="s">
        <v>164</v>
      </c>
      <c r="S44" s="31">
        <f>SUM(S14:S16)</f>
        <v>6894085.8036718443</v>
      </c>
      <c r="T44" s="49">
        <f t="shared" ref="T44:T51" si="5">S44/$P$5</f>
        <v>0.68940858036718444</v>
      </c>
    </row>
    <row r="45" spans="2:20" x14ac:dyDescent="0.2">
      <c r="B45" s="92" t="s">
        <v>165</v>
      </c>
      <c r="C45" s="93"/>
      <c r="D45" s="90"/>
      <c r="F45" s="11" t="s">
        <v>166</v>
      </c>
      <c r="G45" s="12">
        <f>G43*(1-G21)</f>
        <v>4.6822690573664343E-4</v>
      </c>
      <c r="H45" s="4" t="s">
        <v>89</v>
      </c>
      <c r="O45" s="13" t="s">
        <v>74</v>
      </c>
      <c r="P45" s="31">
        <f t="shared" ref="P45:P48" si="6">Q21/2</f>
        <v>62392278.02515465</v>
      </c>
      <c r="Q45" s="49">
        <f t="shared" si="4"/>
        <v>6.2392278025154653</v>
      </c>
      <c r="R45" s="5" t="s">
        <v>74</v>
      </c>
      <c r="S45" s="31">
        <f t="shared" ref="S45:S48" si="7">Q21/2</f>
        <v>62392278.02515465</v>
      </c>
      <c r="T45" s="49">
        <f t="shared" si="5"/>
        <v>6.2392278025154653</v>
      </c>
    </row>
    <row r="46" spans="2:20" x14ac:dyDescent="0.2">
      <c r="B46" s="8" t="s">
        <v>17</v>
      </c>
      <c r="C46" s="8" t="s">
        <v>21</v>
      </c>
      <c r="D46" s="8" t="s">
        <v>22</v>
      </c>
      <c r="F46" s="11" t="s">
        <v>167</v>
      </c>
      <c r="G46" s="12">
        <f>G42*2</f>
        <v>3.1773094263357004E-3</v>
      </c>
      <c r="H46" s="4" t="s">
        <v>89</v>
      </c>
      <c r="O46" s="13" t="s">
        <v>76</v>
      </c>
      <c r="P46" s="31">
        <f t="shared" si="6"/>
        <v>309426.47682637686</v>
      </c>
      <c r="Q46" s="49">
        <f t="shared" si="4"/>
        <v>3.0942647682637686E-2</v>
      </c>
      <c r="R46" s="5" t="s">
        <v>76</v>
      </c>
      <c r="S46" s="31">
        <f t="shared" si="7"/>
        <v>309426.47682637686</v>
      </c>
      <c r="T46" s="49">
        <f t="shared" si="5"/>
        <v>3.0942647682637686E-2</v>
      </c>
    </row>
    <row r="47" spans="2:20" x14ac:dyDescent="0.2">
      <c r="B47" s="11" t="s">
        <v>84</v>
      </c>
      <c r="C47" s="12">
        <v>12.566368000000001</v>
      </c>
      <c r="D47" s="4" t="s">
        <v>139</v>
      </c>
      <c r="F47" s="50" t="s">
        <v>168</v>
      </c>
      <c r="G47" s="51">
        <f>SUM(G45:G46)</f>
        <v>3.645536332072344E-3</v>
      </c>
      <c r="H47" s="52" t="s">
        <v>89</v>
      </c>
      <c r="O47" s="13" t="s">
        <v>79</v>
      </c>
      <c r="P47" s="31">
        <f t="shared" si="6"/>
        <v>726388.9876554762</v>
      </c>
      <c r="Q47" s="49">
        <f t="shared" si="4"/>
        <v>7.2638898765547619E-2</v>
      </c>
      <c r="R47" s="5" t="s">
        <v>79</v>
      </c>
      <c r="S47" s="31">
        <f t="shared" si="7"/>
        <v>726388.9876554762</v>
      </c>
      <c r="T47" s="49">
        <f t="shared" si="5"/>
        <v>7.2638898765547619E-2</v>
      </c>
    </row>
    <row r="48" spans="2:20" x14ac:dyDescent="0.2">
      <c r="B48" s="11" t="s">
        <v>76</v>
      </c>
      <c r="C48" s="12">
        <v>1</v>
      </c>
      <c r="D48" s="4" t="s">
        <v>139</v>
      </c>
      <c r="F48" s="53" t="s">
        <v>169</v>
      </c>
      <c r="G48" s="54">
        <f>C27/1000*C19/C13</f>
        <v>2.7754217530895993</v>
      </c>
      <c r="H48" s="55" t="s">
        <v>89</v>
      </c>
      <c r="O48" s="13" t="s">
        <v>83</v>
      </c>
      <c r="P48" s="31">
        <f t="shared" si="6"/>
        <v>33595842.013544805</v>
      </c>
      <c r="Q48" s="49">
        <f t="shared" si="4"/>
        <v>3.3595842013544805</v>
      </c>
      <c r="R48" s="5" t="s">
        <v>83</v>
      </c>
      <c r="S48" s="31">
        <f t="shared" si="7"/>
        <v>33595842.013544805</v>
      </c>
      <c r="T48" s="49">
        <f t="shared" si="5"/>
        <v>3.3595842013544805</v>
      </c>
    </row>
    <row r="49" spans="2:20" x14ac:dyDescent="0.2">
      <c r="B49" s="11" t="s">
        <v>74</v>
      </c>
      <c r="C49" s="12">
        <v>49</v>
      </c>
      <c r="D49" s="4" t="s">
        <v>139</v>
      </c>
      <c r="F49" s="11" t="s">
        <v>170</v>
      </c>
      <c r="G49" s="12">
        <f>G48*(1-G21)</f>
        <v>2.7754217530896016E-2</v>
      </c>
      <c r="H49" s="4" t="s">
        <v>89</v>
      </c>
      <c r="O49" s="13" t="s">
        <v>102</v>
      </c>
      <c r="P49" s="31">
        <f>P29/2</f>
        <v>2425598.3875795328</v>
      </c>
      <c r="Q49" s="49">
        <f t="shared" si="4"/>
        <v>0.24255983875795328</v>
      </c>
      <c r="R49" s="5" t="s">
        <v>102</v>
      </c>
      <c r="S49" s="31">
        <f>P29/2</f>
        <v>2425598.3875795328</v>
      </c>
      <c r="T49" s="49">
        <f t="shared" si="5"/>
        <v>0.24255983875795328</v>
      </c>
    </row>
    <row r="50" spans="2:20" x14ac:dyDescent="0.2">
      <c r="B50" s="11" t="s">
        <v>171</v>
      </c>
      <c r="C50" s="12">
        <v>2</v>
      </c>
      <c r="D50" s="4" t="s">
        <v>172</v>
      </c>
      <c r="F50" s="48" t="s">
        <v>173</v>
      </c>
      <c r="G50" s="20">
        <f>G49</f>
        <v>2.7754217530896016E-2</v>
      </c>
      <c r="H50" s="21" t="s">
        <v>89</v>
      </c>
      <c r="O50" s="13" t="s">
        <v>106</v>
      </c>
      <c r="P50" s="31">
        <f>P30</f>
        <v>24450525.117583413</v>
      </c>
      <c r="Q50" s="49">
        <f t="shared" si="4"/>
        <v>2.4450525117583415</v>
      </c>
      <c r="R50" s="5" t="s">
        <v>106</v>
      </c>
      <c r="S50" s="31">
        <f>P31</f>
        <v>1378817.160734369</v>
      </c>
      <c r="T50" s="49">
        <f t="shared" si="5"/>
        <v>0.13788171607343688</v>
      </c>
    </row>
    <row r="51" spans="2:20" x14ac:dyDescent="0.2">
      <c r="B51" s="11" t="s">
        <v>174</v>
      </c>
      <c r="C51" s="12">
        <v>2</v>
      </c>
      <c r="D51" s="4" t="s">
        <v>172</v>
      </c>
      <c r="O51" s="13" t="s">
        <v>114</v>
      </c>
      <c r="P51" s="31">
        <f>P32/2</f>
        <v>1154278.6093493858</v>
      </c>
      <c r="Q51" s="49">
        <f t="shared" si="4"/>
        <v>0.11542786093493858</v>
      </c>
      <c r="R51" s="5" t="s">
        <v>114</v>
      </c>
      <c r="S51" s="31">
        <f>P32/2</f>
        <v>1154278.6093493858</v>
      </c>
      <c r="T51" s="49">
        <f t="shared" si="5"/>
        <v>0.11542786093493858</v>
      </c>
    </row>
    <row r="52" spans="2:20" x14ac:dyDescent="0.2">
      <c r="B52" s="11" t="s">
        <v>175</v>
      </c>
      <c r="C52" s="12">
        <v>1</v>
      </c>
      <c r="D52" s="4" t="s">
        <v>172</v>
      </c>
      <c r="O52" s="13" t="s">
        <v>176</v>
      </c>
      <c r="P52" s="31">
        <f>P37</f>
        <v>539282.08660266257</v>
      </c>
      <c r="Q52" s="49">
        <f t="shared" si="4"/>
        <v>5.3928208660266257E-2</v>
      </c>
      <c r="R52" s="5"/>
      <c r="S52" s="31"/>
      <c r="T52" s="49"/>
    </row>
    <row r="53" spans="2:20" x14ac:dyDescent="0.2">
      <c r="O53" s="56" t="s">
        <v>146</v>
      </c>
      <c r="P53" s="33">
        <f>S11</f>
        <v>41138187.642193519</v>
      </c>
      <c r="Q53" s="57">
        <f t="shared" si="4"/>
        <v>4.113818764219352</v>
      </c>
      <c r="R53" s="68" t="s">
        <v>146</v>
      </c>
      <c r="S53" s="33">
        <f>S17</f>
        <v>15000000</v>
      </c>
      <c r="T53" s="57">
        <f t="shared" ref="T53:T54" si="8">S53/$P$5</f>
        <v>1.5</v>
      </c>
    </row>
    <row r="54" spans="2:20" x14ac:dyDescent="0.2">
      <c r="O54" s="58" t="s">
        <v>151</v>
      </c>
      <c r="P54" s="34">
        <f>P53-SUM(P44:P52)</f>
        <v>-206708057.65001985</v>
      </c>
      <c r="Q54" s="34">
        <f t="shared" si="4"/>
        <v>-20.670805765001987</v>
      </c>
      <c r="R54" s="59" t="s">
        <v>151</v>
      </c>
      <c r="S54" s="34">
        <f>S53-SUM(S44:S52)</f>
        <v>-93876715.464516431</v>
      </c>
      <c r="T54" s="34">
        <f t="shared" si="8"/>
        <v>-9.3876715464516423</v>
      </c>
    </row>
    <row r="55" spans="2:20" x14ac:dyDescent="0.2">
      <c r="O55" s="19" t="s">
        <v>177</v>
      </c>
      <c r="P55" s="98">
        <f>P54+S54</f>
        <v>-300584773.11453629</v>
      </c>
      <c r="Q55" s="93"/>
      <c r="R55" s="93"/>
      <c r="S55" s="93"/>
      <c r="T55" s="90"/>
    </row>
    <row r="57" spans="2:20" x14ac:dyDescent="0.2">
      <c r="O57" s="99" t="s">
        <v>178</v>
      </c>
      <c r="P57" s="90"/>
    </row>
    <row r="58" spans="2:20" x14ac:dyDescent="0.2">
      <c r="O58" s="13" t="s">
        <v>164</v>
      </c>
      <c r="P58" s="31">
        <f t="shared" ref="P58:P66" si="9">Q44+T44</f>
        <v>12.914671139158889</v>
      </c>
    </row>
    <row r="59" spans="2:20" x14ac:dyDescent="0.2">
      <c r="O59" s="13" t="s">
        <v>74</v>
      </c>
      <c r="P59" s="31">
        <f t="shared" si="9"/>
        <v>12.478455605030931</v>
      </c>
    </row>
    <row r="60" spans="2:20" x14ac:dyDescent="0.2">
      <c r="O60" s="13" t="s">
        <v>76</v>
      </c>
      <c r="P60" s="31">
        <f t="shared" si="9"/>
        <v>6.1885295365275372E-2</v>
      </c>
    </row>
    <row r="61" spans="2:20" x14ac:dyDescent="0.2">
      <c r="O61" s="13" t="s">
        <v>79</v>
      </c>
      <c r="P61" s="31">
        <f t="shared" si="9"/>
        <v>0.14527779753109524</v>
      </c>
    </row>
    <row r="62" spans="2:20" x14ac:dyDescent="0.2">
      <c r="O62" s="13" t="s">
        <v>83</v>
      </c>
      <c r="P62" s="31">
        <f t="shared" si="9"/>
        <v>6.7191684027089611</v>
      </c>
    </row>
    <row r="63" spans="2:20" x14ac:dyDescent="0.2">
      <c r="O63" s="13" t="s">
        <v>102</v>
      </c>
      <c r="P63" s="31">
        <f t="shared" si="9"/>
        <v>0.48511967751590657</v>
      </c>
    </row>
    <row r="64" spans="2:20" x14ac:dyDescent="0.2">
      <c r="O64" s="13" t="s">
        <v>106</v>
      </c>
      <c r="P64" s="31">
        <f t="shared" si="9"/>
        <v>2.5829342278317782</v>
      </c>
    </row>
    <row r="65" spans="15:16" x14ac:dyDescent="0.2">
      <c r="O65" s="13" t="s">
        <v>114</v>
      </c>
      <c r="P65" s="31">
        <f t="shared" si="9"/>
        <v>0.23085572186987716</v>
      </c>
    </row>
    <row r="66" spans="15:16" x14ac:dyDescent="0.2">
      <c r="O66" s="13" t="s">
        <v>176</v>
      </c>
      <c r="P66" s="31">
        <f t="shared" si="9"/>
        <v>5.3928208660266257E-2</v>
      </c>
    </row>
    <row r="67" spans="15:16" x14ac:dyDescent="0.2">
      <c r="O67" s="56" t="s">
        <v>146</v>
      </c>
      <c r="P67" s="33">
        <f>Q53</f>
        <v>4.113818764219352</v>
      </c>
    </row>
    <row r="68" spans="15:16" x14ac:dyDescent="0.2">
      <c r="O68" s="58" t="s">
        <v>179</v>
      </c>
      <c r="P68" s="34">
        <f>SUM(P58:P66)-P67</f>
        <v>31.558477311453629</v>
      </c>
    </row>
  </sheetData>
  <mergeCells count="33">
    <mergeCell ref="O27:P27"/>
    <mergeCell ref="J28:M28"/>
    <mergeCell ref="B21:D21"/>
    <mergeCell ref="F23:H23"/>
    <mergeCell ref="O24:P24"/>
    <mergeCell ref="F25:H25"/>
    <mergeCell ref="O25:P25"/>
    <mergeCell ref="O35:P35"/>
    <mergeCell ref="R35:S35"/>
    <mergeCell ref="O42:T42"/>
    <mergeCell ref="P55:T55"/>
    <mergeCell ref="O57:P57"/>
    <mergeCell ref="B23:D23"/>
    <mergeCell ref="B29:D29"/>
    <mergeCell ref="B33:D33"/>
    <mergeCell ref="B45:D45"/>
    <mergeCell ref="J31:M31"/>
    <mergeCell ref="J33:M33"/>
    <mergeCell ref="F13:H13"/>
    <mergeCell ref="O14:O16"/>
    <mergeCell ref="B16:D16"/>
    <mergeCell ref="J16:M16"/>
    <mergeCell ref="O19:Q19"/>
    <mergeCell ref="J7:M7"/>
    <mergeCell ref="O8:O10"/>
    <mergeCell ref="J9:M9"/>
    <mergeCell ref="B9:D9"/>
    <mergeCell ref="F9:H9"/>
    <mergeCell ref="B2:C2"/>
    <mergeCell ref="G2:H2"/>
    <mergeCell ref="G3:H3"/>
    <mergeCell ref="B7:D7"/>
    <mergeCell ref="F7:H7"/>
  </mergeCells>
  <phoneticPr fontId="13" type="noConversion"/>
  <conditionalFormatting sqref="S40 P54:Q55 S54:T55 R55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D18"/>
  <sheetViews>
    <sheetView workbookViewId="0"/>
  </sheetViews>
  <sheetFormatPr defaultColWidth="12.5703125" defaultRowHeight="15.75" customHeight="1" x14ac:dyDescent="0.2"/>
  <cols>
    <col min="2" max="2" width="15" customWidth="1"/>
  </cols>
  <sheetData>
    <row r="2" spans="2:4" x14ac:dyDescent="0.2">
      <c r="B2" s="6" t="s">
        <v>92</v>
      </c>
      <c r="C2" s="77" t="s">
        <v>210</v>
      </c>
    </row>
    <row r="3" spans="2:4" x14ac:dyDescent="0.2">
      <c r="B3" s="6" t="s">
        <v>50</v>
      </c>
      <c r="C3" s="77" t="s">
        <v>211</v>
      </c>
    </row>
    <row r="4" spans="2:4" x14ac:dyDescent="0.2">
      <c r="B4" s="6" t="s">
        <v>58</v>
      </c>
      <c r="C4" s="77" t="s">
        <v>212</v>
      </c>
    </row>
    <row r="5" spans="2:4" x14ac:dyDescent="0.2">
      <c r="B5" s="6" t="s">
        <v>213</v>
      </c>
      <c r="C5" s="6" t="s">
        <v>214</v>
      </c>
      <c r="D5" s="78" t="s">
        <v>215</v>
      </c>
    </row>
    <row r="6" spans="2:4" x14ac:dyDescent="0.2">
      <c r="B6" s="6" t="s">
        <v>46</v>
      </c>
      <c r="C6" s="6" t="s">
        <v>216</v>
      </c>
    </row>
    <row r="7" spans="2:4" x14ac:dyDescent="0.2">
      <c r="B7" s="6" t="s">
        <v>40</v>
      </c>
      <c r="C7" s="6" t="s">
        <v>217</v>
      </c>
    </row>
    <row r="8" spans="2:4" x14ac:dyDescent="0.2">
      <c r="B8" s="6" t="s">
        <v>218</v>
      </c>
      <c r="C8" s="77" t="s">
        <v>219</v>
      </c>
    </row>
    <row r="9" spans="2:4" x14ac:dyDescent="0.2">
      <c r="B9" s="6" t="s">
        <v>116</v>
      </c>
      <c r="C9" s="79" t="s">
        <v>220</v>
      </c>
    </row>
    <row r="15" spans="2:4" x14ac:dyDescent="0.2">
      <c r="B15" s="6" t="s">
        <v>221</v>
      </c>
    </row>
    <row r="16" spans="2:4" x14ac:dyDescent="0.2">
      <c r="B16" s="6" t="s">
        <v>222</v>
      </c>
    </row>
    <row r="17" spans="2:4" x14ac:dyDescent="0.2">
      <c r="B17" s="6" t="s">
        <v>223</v>
      </c>
      <c r="C17" s="6" t="s">
        <v>224</v>
      </c>
      <c r="D17" s="80" t="s">
        <v>225</v>
      </c>
    </row>
    <row r="18" spans="2:4" x14ac:dyDescent="0.2">
      <c r="B18" s="6" t="s">
        <v>58</v>
      </c>
      <c r="C18" s="77" t="s">
        <v>212</v>
      </c>
    </row>
  </sheetData>
  <phoneticPr fontId="13" type="noConversion"/>
  <hyperlinks>
    <hyperlink ref="D5" r:id="rId1" xr:uid="{00000000-0004-0000-0400-000000000000}"/>
    <hyperlink ref="C9" r:id="rId2" xr:uid="{00000000-0004-0000-0400-000001000000}"/>
    <hyperlink ref="D17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3:E58"/>
  <sheetViews>
    <sheetView tabSelected="1" workbookViewId="0">
      <selection activeCell="G7" sqref="G7"/>
    </sheetView>
  </sheetViews>
  <sheetFormatPr defaultColWidth="12.5703125" defaultRowHeight="15.75" customHeight="1" x14ac:dyDescent="0.2"/>
  <sheetData>
    <row r="3" spans="2:5" x14ac:dyDescent="0.2">
      <c r="B3" s="92" t="s">
        <v>226</v>
      </c>
      <c r="C3" s="93"/>
      <c r="D3" s="93"/>
      <c r="E3" s="90"/>
    </row>
    <row r="4" spans="2:5" x14ac:dyDescent="0.2">
      <c r="B4" s="8" t="s">
        <v>28</v>
      </c>
      <c r="C4" s="8" t="s">
        <v>21</v>
      </c>
      <c r="D4" s="8" t="s">
        <v>22</v>
      </c>
      <c r="E4" s="81" t="s">
        <v>227</v>
      </c>
    </row>
    <row r="5" spans="2:5" x14ac:dyDescent="0.2">
      <c r="B5" s="82" t="s">
        <v>228</v>
      </c>
      <c r="C5" s="5">
        <v>2.57</v>
      </c>
      <c r="D5" s="4" t="s">
        <v>35</v>
      </c>
      <c r="E5" s="5" t="s">
        <v>44</v>
      </c>
    </row>
    <row r="6" spans="2:5" x14ac:dyDescent="0.2">
      <c r="B6" s="82" t="s">
        <v>229</v>
      </c>
      <c r="C6" s="5">
        <v>4.7300000000000004</v>
      </c>
      <c r="D6" s="4" t="s">
        <v>35</v>
      </c>
      <c r="E6" s="5" t="s">
        <v>44</v>
      </c>
    </row>
    <row r="7" spans="2:5" x14ac:dyDescent="0.2">
      <c r="B7" s="83" t="s">
        <v>230</v>
      </c>
      <c r="C7" s="68">
        <v>5.68</v>
      </c>
      <c r="D7" s="55" t="s">
        <v>35</v>
      </c>
      <c r="E7" s="68" t="s">
        <v>44</v>
      </c>
    </row>
    <row r="8" spans="2:5" x14ac:dyDescent="0.2">
      <c r="B8" s="84" t="s">
        <v>231</v>
      </c>
      <c r="C8" s="85">
        <v>0.79</v>
      </c>
      <c r="D8" s="46" t="s">
        <v>35</v>
      </c>
      <c r="E8" s="85" t="s">
        <v>44</v>
      </c>
    </row>
    <row r="9" spans="2:5" x14ac:dyDescent="0.2">
      <c r="B9" s="82" t="s">
        <v>232</v>
      </c>
      <c r="C9" s="5">
        <v>1.19</v>
      </c>
      <c r="D9" s="4" t="s">
        <v>35</v>
      </c>
      <c r="E9" s="5" t="s">
        <v>44</v>
      </c>
    </row>
    <row r="10" spans="2:5" x14ac:dyDescent="0.2">
      <c r="B10" s="82" t="s">
        <v>233</v>
      </c>
      <c r="C10" s="5">
        <v>0.56000000000000005</v>
      </c>
      <c r="D10" s="4" t="s">
        <v>35</v>
      </c>
      <c r="E10" s="5" t="s">
        <v>44</v>
      </c>
    </row>
    <row r="11" spans="2:5" x14ac:dyDescent="0.2">
      <c r="B11" s="82" t="s">
        <v>38</v>
      </c>
      <c r="C11" s="5">
        <v>0.11</v>
      </c>
      <c r="D11" s="4" t="s">
        <v>35</v>
      </c>
      <c r="E11" s="86" t="s">
        <v>234</v>
      </c>
    </row>
    <row r="12" spans="2:5" x14ac:dyDescent="0.2">
      <c r="B12" s="83" t="s">
        <v>38</v>
      </c>
      <c r="C12" s="68">
        <v>9.1999999999999998E-2</v>
      </c>
      <c r="D12" s="55" t="s">
        <v>35</v>
      </c>
      <c r="E12" s="87" t="s">
        <v>235</v>
      </c>
    </row>
    <row r="13" spans="2:5" x14ac:dyDescent="0.2">
      <c r="B13" s="84" t="s">
        <v>236</v>
      </c>
      <c r="C13" s="85">
        <v>0.81</v>
      </c>
      <c r="D13" s="46" t="s">
        <v>35</v>
      </c>
      <c r="E13" s="85" t="s">
        <v>44</v>
      </c>
    </row>
    <row r="14" spans="2:5" x14ac:dyDescent="0.2">
      <c r="B14" s="82" t="s">
        <v>237</v>
      </c>
      <c r="C14" s="5">
        <v>0.64</v>
      </c>
      <c r="D14" s="4" t="s">
        <v>35</v>
      </c>
      <c r="E14" s="5" t="s">
        <v>44</v>
      </c>
    </row>
    <row r="15" spans="2:5" x14ac:dyDescent="0.2">
      <c r="B15" s="82" t="s">
        <v>238</v>
      </c>
      <c r="C15" s="5">
        <v>0.56999999999999995</v>
      </c>
      <c r="D15" s="4" t="s">
        <v>35</v>
      </c>
      <c r="E15" s="5" t="s">
        <v>44</v>
      </c>
    </row>
    <row r="16" spans="2:5" x14ac:dyDescent="0.2">
      <c r="B16" s="83" t="s">
        <v>29</v>
      </c>
      <c r="C16" s="68">
        <v>111</v>
      </c>
      <c r="D16" s="55" t="s">
        <v>35</v>
      </c>
      <c r="E16" s="87" t="s">
        <v>239</v>
      </c>
    </row>
    <row r="17" spans="2:5" x14ac:dyDescent="0.2">
      <c r="B17" s="84" t="s">
        <v>240</v>
      </c>
      <c r="C17" s="85">
        <v>1.18</v>
      </c>
      <c r="D17" s="46" t="s">
        <v>35</v>
      </c>
      <c r="E17" s="85" t="s">
        <v>44</v>
      </c>
    </row>
    <row r="18" spans="2:5" x14ac:dyDescent="0.2">
      <c r="B18" s="82" t="s">
        <v>241</v>
      </c>
      <c r="C18" s="5">
        <v>0.95</v>
      </c>
      <c r="D18" s="4" t="s">
        <v>35</v>
      </c>
      <c r="E18" s="5" t="s">
        <v>44</v>
      </c>
    </row>
    <row r="19" spans="2:5" x14ac:dyDescent="0.2">
      <c r="B19" s="82" t="s">
        <v>242</v>
      </c>
      <c r="C19" s="5">
        <v>0.89</v>
      </c>
      <c r="D19" s="4" t="s">
        <v>35</v>
      </c>
      <c r="E19" s="5" t="s">
        <v>44</v>
      </c>
    </row>
    <row r="20" spans="2:5" x14ac:dyDescent="0.2">
      <c r="B20" s="83" t="s">
        <v>42</v>
      </c>
      <c r="C20" s="68">
        <v>247</v>
      </c>
      <c r="D20" s="55" t="s">
        <v>35</v>
      </c>
      <c r="E20" s="87" t="s">
        <v>243</v>
      </c>
    </row>
    <row r="21" spans="2:5" x14ac:dyDescent="0.2">
      <c r="B21" s="84" t="s">
        <v>244</v>
      </c>
      <c r="C21" s="85">
        <v>0.46</v>
      </c>
      <c r="D21" s="46" t="s">
        <v>35</v>
      </c>
      <c r="E21" s="85" t="s">
        <v>44</v>
      </c>
    </row>
    <row r="22" spans="2:5" x14ac:dyDescent="0.2">
      <c r="B22" s="82" t="s">
        <v>245</v>
      </c>
      <c r="C22" s="5">
        <v>0.44</v>
      </c>
      <c r="D22" s="4" t="s">
        <v>35</v>
      </c>
      <c r="E22" s="5" t="s">
        <v>44</v>
      </c>
    </row>
    <row r="23" spans="2:5" x14ac:dyDescent="0.2">
      <c r="B23" s="82" t="s">
        <v>246</v>
      </c>
      <c r="C23" s="5">
        <v>0.6</v>
      </c>
      <c r="D23" s="4" t="s">
        <v>35</v>
      </c>
      <c r="E23" s="5" t="s">
        <v>44</v>
      </c>
    </row>
    <row r="24" spans="2:5" x14ac:dyDescent="0.2">
      <c r="B24" s="82" t="s">
        <v>48</v>
      </c>
      <c r="C24" s="5">
        <v>1.087</v>
      </c>
      <c r="D24" s="4" t="s">
        <v>35</v>
      </c>
      <c r="E24" s="86" t="s">
        <v>235</v>
      </c>
    </row>
    <row r="53" spans="2:4" x14ac:dyDescent="0.2">
      <c r="C53" s="6" t="s">
        <v>35</v>
      </c>
      <c r="D53" s="6" t="s">
        <v>247</v>
      </c>
    </row>
    <row r="54" spans="2:4" x14ac:dyDescent="0.2">
      <c r="B54" s="6" t="s">
        <v>38</v>
      </c>
      <c r="C54" s="6">
        <v>0.11</v>
      </c>
      <c r="D54" s="88" t="s">
        <v>234</v>
      </c>
    </row>
    <row r="55" spans="2:4" x14ac:dyDescent="0.2">
      <c r="B55" s="6" t="s">
        <v>38</v>
      </c>
      <c r="C55" s="6">
        <v>9.1999999999999998E-2</v>
      </c>
      <c r="D55" s="88" t="s">
        <v>235</v>
      </c>
    </row>
    <row r="56" spans="2:4" x14ac:dyDescent="0.2">
      <c r="B56" s="6" t="s">
        <v>48</v>
      </c>
      <c r="C56" s="6">
        <v>1.087</v>
      </c>
      <c r="D56" s="88" t="s">
        <v>235</v>
      </c>
    </row>
    <row r="57" spans="2:4" x14ac:dyDescent="0.2">
      <c r="B57" s="6" t="s">
        <v>29</v>
      </c>
      <c r="C57" s="6">
        <v>111</v>
      </c>
      <c r="D57" s="88" t="s">
        <v>239</v>
      </c>
    </row>
    <row r="58" spans="2:4" x14ac:dyDescent="0.2">
      <c r="B58" s="6" t="s">
        <v>42</v>
      </c>
      <c r="C58" s="6">
        <v>247</v>
      </c>
      <c r="D58" s="88" t="s">
        <v>243</v>
      </c>
    </row>
  </sheetData>
  <mergeCells count="1">
    <mergeCell ref="B3:E3"/>
  </mergeCells>
  <phoneticPr fontId="13" type="noConversion"/>
  <hyperlinks>
    <hyperlink ref="E11" r:id="rId1" xr:uid="{00000000-0004-0000-0500-000000000000}"/>
    <hyperlink ref="E12" r:id="rId2" xr:uid="{00000000-0004-0000-0500-000001000000}"/>
    <hyperlink ref="E16" r:id="rId3" xr:uid="{00000000-0004-0000-0500-000002000000}"/>
    <hyperlink ref="E20" r:id="rId4" xr:uid="{00000000-0004-0000-0500-000003000000}"/>
    <hyperlink ref="E24" r:id="rId5" xr:uid="{00000000-0004-0000-0500-000004000000}"/>
    <hyperlink ref="D54" r:id="rId6" xr:uid="{00000000-0004-0000-0500-000005000000}"/>
    <hyperlink ref="D55" r:id="rId7" xr:uid="{00000000-0004-0000-0500-000006000000}"/>
    <hyperlink ref="D56" r:id="rId8" xr:uid="{00000000-0004-0000-0500-000007000000}"/>
    <hyperlink ref="D57" r:id="rId9" xr:uid="{00000000-0004-0000-0500-000008000000}"/>
    <hyperlink ref="D58" r:id="rId10" xr:uid="{00000000-0004-0000-05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system 1 (COOR-ORR 1V pulse)</vt:lpstr>
      <vt:lpstr>system 2 (OER-ORR 1.5V)</vt:lpstr>
      <vt:lpstr>system 3 (LDG_COOR_ORR 0V)</vt:lpstr>
      <vt:lpstr>system 4 ("CO"OR-ORR) 1V Pulse</vt:lpstr>
      <vt:lpstr>Reference</vt:lpstr>
      <vt:lpstr>Material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(대학원생) 공은슬 (에너지화학공학과)</cp:lastModifiedBy>
  <dcterms:modified xsi:type="dcterms:W3CDTF">2026-05-06T06:45:19Z</dcterms:modified>
</cp:coreProperties>
</file>