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04 Experimental\06 Hyeonmyeong\4. PET conversion\경제성 분석\"/>
    </mc:Choice>
  </mc:AlternateContent>
  <xr:revisionPtr revIDLastSave="0" documentId="8_{83C4FFA1-6F7E-4792-8471-47E7230890E9}" xr6:coauthVersionLast="47" xr6:coauthVersionMax="47" xr10:uidLastSave="{00000000-0000-0000-0000-000000000000}"/>
  <bookViews>
    <workbookView xWindow="-120" yWindow="-120" windowWidth="29040" windowHeight="15720" activeTab="1" xr2:uid="{8E5C30D2-1FD3-4420-ACFD-C7E66C08A826}"/>
  </bookViews>
  <sheets>
    <sheet name="0.1g PET, 2H" sheetId="5" r:id="rId1"/>
    <sheet name="TEA Summary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2" i="6" l="1"/>
  <c r="C131" i="6"/>
  <c r="C130" i="6"/>
  <c r="C129" i="6"/>
  <c r="C126" i="6"/>
  <c r="C125" i="6"/>
  <c r="C124" i="6"/>
  <c r="C123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C111" i="6"/>
  <c r="D106" i="6"/>
  <c r="C106" i="6"/>
  <c r="D105" i="6"/>
  <c r="C105" i="6"/>
  <c r="D104" i="6"/>
  <c r="C104" i="6"/>
  <c r="D100" i="6"/>
  <c r="C100" i="6"/>
  <c r="D99" i="6" s="1"/>
  <c r="C99" i="6"/>
  <c r="C98" i="6"/>
  <c r="C97" i="6"/>
  <c r="C96" i="6"/>
  <c r="C91" i="6"/>
  <c r="C90" i="6"/>
  <c r="C89" i="6"/>
  <c r="E84" i="6"/>
  <c r="D84" i="6"/>
  <c r="C84" i="6"/>
  <c r="E83" i="6"/>
  <c r="D83" i="6"/>
  <c r="C83" i="6"/>
  <c r="E82" i="6"/>
  <c r="D82" i="6"/>
  <c r="C82" i="6"/>
  <c r="E81" i="6"/>
  <c r="D81" i="6"/>
  <c r="C81" i="6"/>
  <c r="E80" i="6"/>
  <c r="D80" i="6"/>
  <c r="C80" i="6"/>
  <c r="E75" i="6"/>
  <c r="D75" i="6"/>
  <c r="C75" i="6"/>
  <c r="F74" i="6"/>
  <c r="E74" i="6"/>
  <c r="D74" i="6"/>
  <c r="C74" i="6"/>
  <c r="F73" i="6"/>
  <c r="E73" i="6"/>
  <c r="D73" i="6"/>
  <c r="C73" i="6"/>
  <c r="F72" i="6"/>
  <c r="E72" i="6"/>
  <c r="D72" i="6"/>
  <c r="C72" i="6"/>
  <c r="E67" i="6"/>
  <c r="D67" i="6"/>
  <c r="C67" i="6"/>
  <c r="E65" i="6"/>
  <c r="D65" i="6"/>
  <c r="C65" i="6"/>
  <c r="E64" i="6"/>
  <c r="D64" i="6"/>
  <c r="C64" i="6"/>
  <c r="E63" i="6"/>
  <c r="D63" i="6"/>
  <c r="C63" i="6"/>
  <c r="E62" i="6"/>
  <c r="D62" i="6"/>
  <c r="C62" i="6"/>
  <c r="E60" i="6"/>
  <c r="D60" i="6"/>
  <c r="C60" i="6"/>
  <c r="E59" i="6"/>
  <c r="D59" i="6"/>
  <c r="C59" i="6"/>
  <c r="E58" i="6"/>
  <c r="D58" i="6"/>
  <c r="C58" i="6"/>
  <c r="E57" i="6"/>
  <c r="D57" i="6"/>
  <c r="C57" i="6"/>
  <c r="E55" i="6"/>
  <c r="D55" i="6"/>
  <c r="C55" i="6"/>
  <c r="E54" i="6"/>
  <c r="D54" i="6"/>
  <c r="C54" i="6"/>
  <c r="E53" i="6"/>
  <c r="D53" i="6"/>
  <c r="C53" i="6"/>
  <c r="E52" i="6"/>
  <c r="D52" i="6"/>
  <c r="C52" i="6"/>
  <c r="E51" i="6"/>
  <c r="D51" i="6"/>
  <c r="C51" i="6"/>
  <c r="E50" i="6"/>
  <c r="D50" i="6"/>
  <c r="C50" i="6"/>
  <c r="E45" i="6"/>
  <c r="D45" i="6"/>
  <c r="C45" i="6"/>
  <c r="E44" i="6"/>
  <c r="D44" i="6"/>
  <c r="C44" i="6"/>
  <c r="E43" i="6"/>
  <c r="D43" i="6"/>
  <c r="C43" i="6"/>
  <c r="E41" i="6"/>
  <c r="D41" i="6"/>
  <c r="C41" i="6"/>
  <c r="E40" i="6"/>
  <c r="D40" i="6"/>
  <c r="C40" i="6"/>
  <c r="E39" i="6"/>
  <c r="D39" i="6"/>
  <c r="C39" i="6"/>
  <c r="E38" i="6"/>
  <c r="D38" i="6"/>
  <c r="C38" i="6"/>
  <c r="E37" i="6"/>
  <c r="D37" i="6"/>
  <c r="C37" i="6"/>
  <c r="E36" i="6"/>
  <c r="D36" i="6"/>
  <c r="C36" i="6"/>
  <c r="E35" i="6"/>
  <c r="D35" i="6"/>
  <c r="C35" i="6"/>
  <c r="C30" i="6"/>
  <c r="C29" i="6"/>
  <c r="D28" i="6"/>
  <c r="C28" i="6"/>
  <c r="D27" i="6"/>
  <c r="C27" i="6"/>
  <c r="C25" i="6"/>
  <c r="D24" i="6"/>
  <c r="C24" i="6"/>
  <c r="C23" i="6"/>
  <c r="D22" i="6"/>
  <c r="C22" i="6"/>
  <c r="D21" i="6"/>
  <c r="C21" i="6"/>
  <c r="C20" i="6"/>
  <c r="E15" i="6"/>
  <c r="D15" i="6"/>
  <c r="C15" i="6"/>
  <c r="E14" i="6"/>
  <c r="D14" i="6"/>
  <c r="C14" i="6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F36" i="5"/>
  <c r="D97" i="6" l="1"/>
  <c r="D96" i="6"/>
  <c r="D98" i="6"/>
  <c r="T34" i="5"/>
  <c r="U37" i="5"/>
  <c r="V37" i="5" s="1"/>
  <c r="L22" i="5"/>
  <c r="M22" i="5" s="1"/>
  <c r="N22" i="5" s="1"/>
  <c r="O8" i="5"/>
  <c r="L20" i="5"/>
  <c r="S71" i="5" l="1"/>
  <c r="Z73" i="5" s="1"/>
  <c r="AB73" i="5" l="1"/>
  <c r="AA73" i="5"/>
  <c r="U31" i="5" l="1"/>
  <c r="V31" i="5" s="1"/>
  <c r="U32" i="5"/>
  <c r="V32" i="5" s="1"/>
  <c r="Z32" i="5" s="1"/>
  <c r="U33" i="5"/>
  <c r="V33" i="5" s="1"/>
  <c r="Z33" i="5" s="1"/>
  <c r="T28" i="5"/>
  <c r="U27" i="5"/>
  <c r="V27" i="5" s="1"/>
  <c r="Z27" i="5" s="1"/>
  <c r="M20" i="5"/>
  <c r="N20" i="5" s="1"/>
  <c r="M9" i="5"/>
  <c r="L58" i="5"/>
  <c r="S58" i="5"/>
  <c r="Z60" i="5" s="1"/>
  <c r="M8" i="5"/>
  <c r="M15" i="5" s="1"/>
  <c r="N15" i="5" s="1"/>
  <c r="Z37" i="5"/>
  <c r="U30" i="5"/>
  <c r="U26" i="5"/>
  <c r="V26" i="5" s="1"/>
  <c r="Z26" i="5" s="1"/>
  <c r="U25" i="5"/>
  <c r="V25" i="5" s="1"/>
  <c r="Z25" i="5" s="1"/>
  <c r="U24" i="5"/>
  <c r="V24" i="5" s="1"/>
  <c r="Z24" i="5" s="1"/>
  <c r="U23" i="5"/>
  <c r="V23" i="5" s="1"/>
  <c r="Z23" i="5" s="1"/>
  <c r="M21" i="5"/>
  <c r="U22" i="5"/>
  <c r="U21" i="5"/>
  <c r="V21" i="5" s="1"/>
  <c r="T19" i="5"/>
  <c r="U18" i="5"/>
  <c r="V18" i="5" s="1"/>
  <c r="Z18" i="5" s="1"/>
  <c r="U17" i="5"/>
  <c r="V17" i="5" s="1"/>
  <c r="Z17" i="5" s="1"/>
  <c r="U16" i="5"/>
  <c r="V16" i="5" s="1"/>
  <c r="Z16" i="5" s="1"/>
  <c r="U15" i="5"/>
  <c r="V15" i="5" s="1"/>
  <c r="Z15" i="5" s="1"/>
  <c r="U14" i="5"/>
  <c r="V14" i="5" s="1"/>
  <c r="Z14" i="5" s="1"/>
  <c r="U13" i="5"/>
  <c r="V13" i="5" s="1"/>
  <c r="Z13" i="5" s="1"/>
  <c r="U12" i="5"/>
  <c r="V12" i="5" s="1"/>
  <c r="M11" i="5"/>
  <c r="M10" i="5"/>
  <c r="V22" i="5" l="1"/>
  <c r="Z22" i="5" s="1"/>
  <c r="AA22" i="5" s="1"/>
  <c r="N9" i="5"/>
  <c r="N10" i="5"/>
  <c r="AB60" i="5"/>
  <c r="AA60" i="5"/>
  <c r="AA33" i="5"/>
  <c r="AB33" i="5"/>
  <c r="AA27" i="5"/>
  <c r="AB27" i="5"/>
  <c r="N11" i="5"/>
  <c r="O11" i="5" s="1"/>
  <c r="N21" i="5"/>
  <c r="M14" i="5" s="1"/>
  <c r="N14" i="5" s="1"/>
  <c r="U34" i="5"/>
  <c r="Z12" i="5"/>
  <c r="AB12" i="5" s="1"/>
  <c r="V19" i="5"/>
  <c r="Z21" i="5"/>
  <c r="AB21" i="5" s="1"/>
  <c r="O15" i="5"/>
  <c r="S80" i="5" s="1"/>
  <c r="Z82" i="5" s="1"/>
  <c r="L31" i="5"/>
  <c r="V36" i="5" s="1"/>
  <c r="Z36" i="5" s="1"/>
  <c r="AB36" i="5" s="1"/>
  <c r="U28" i="5"/>
  <c r="AA18" i="5"/>
  <c r="AB16" i="5"/>
  <c r="AA15" i="5"/>
  <c r="AB14" i="5"/>
  <c r="AB17" i="5"/>
  <c r="AB26" i="5"/>
  <c r="M13" i="5"/>
  <c r="N13" i="5" s="1"/>
  <c r="AB13" i="5"/>
  <c r="AA23" i="5"/>
  <c r="AB25" i="5"/>
  <c r="AB18" i="5"/>
  <c r="AB32" i="5"/>
  <c r="AB24" i="5"/>
  <c r="AB37" i="5"/>
  <c r="AA13" i="5"/>
  <c r="AB23" i="5"/>
  <c r="AA37" i="5"/>
  <c r="AA25" i="5"/>
  <c r="AA17" i="5"/>
  <c r="AB15" i="5"/>
  <c r="AA16" i="5"/>
  <c r="AA14" i="5"/>
  <c r="AA26" i="5"/>
  <c r="M12" i="5"/>
  <c r="N12" i="5" s="1"/>
  <c r="U19" i="5"/>
  <c r="V30" i="5"/>
  <c r="E28" i="5" l="1"/>
  <c r="F28" i="5" s="1"/>
  <c r="E27" i="5"/>
  <c r="E26" i="5"/>
  <c r="V28" i="5"/>
  <c r="L68" i="5"/>
  <c r="S60" i="5" s="1"/>
  <c r="Z62" i="5" s="1"/>
  <c r="AA62" i="5" s="1"/>
  <c r="L51" i="5"/>
  <c r="S50" i="5"/>
  <c r="Z51" i="5" s="1"/>
  <c r="AA51" i="5" s="1"/>
  <c r="L69" i="5"/>
  <c r="S61" i="5" s="1"/>
  <c r="Z63" i="5" s="1"/>
  <c r="F26" i="5"/>
  <c r="S49" i="5"/>
  <c r="Z50" i="5" s="1"/>
  <c r="AB50" i="5" s="1"/>
  <c r="O10" i="5"/>
  <c r="O9" i="5"/>
  <c r="AA82" i="5"/>
  <c r="AB82" i="5"/>
  <c r="L67" i="5"/>
  <c r="S51" i="5"/>
  <c r="L32" i="5"/>
  <c r="S69" i="5"/>
  <c r="AA12" i="5"/>
  <c r="AA21" i="5"/>
  <c r="Z30" i="5"/>
  <c r="AB30" i="5" s="1"/>
  <c r="V34" i="5"/>
  <c r="Z34" i="5" s="1"/>
  <c r="O13" i="5"/>
  <c r="S78" i="5" s="1"/>
  <c r="Z80" i="5" s="1"/>
  <c r="AB22" i="5"/>
  <c r="Z28" i="5"/>
  <c r="AA36" i="5"/>
  <c r="AA32" i="5"/>
  <c r="Z19" i="5"/>
  <c r="AA24" i="5"/>
  <c r="AB62" i="5" l="1"/>
  <c r="E29" i="5"/>
  <c r="F29" i="5" s="1"/>
  <c r="L46" i="5" s="1"/>
  <c r="AA50" i="5"/>
  <c r="AB63" i="5"/>
  <c r="AA63" i="5"/>
  <c r="S59" i="5"/>
  <c r="Z61" i="5" s="1"/>
  <c r="AB61" i="5" s="1"/>
  <c r="AB51" i="5"/>
  <c r="F27" i="5"/>
  <c r="AA80" i="5"/>
  <c r="AB80" i="5"/>
  <c r="Z71" i="5"/>
  <c r="S52" i="5"/>
  <c r="Z52" i="5"/>
  <c r="AA52" i="5" s="1"/>
  <c r="L66" i="5"/>
  <c r="O12" i="5"/>
  <c r="AA30" i="5"/>
  <c r="O14" i="5"/>
  <c r="AA19" i="5"/>
  <c r="AB19" i="5"/>
  <c r="AB28" i="5"/>
  <c r="AA28" i="5"/>
  <c r="T38" i="5"/>
  <c r="U38" i="5"/>
  <c r="L47" i="5" l="1"/>
  <c r="S70" i="5" s="1"/>
  <c r="U40" i="5"/>
  <c r="U41" i="5" s="1"/>
  <c r="U42" i="5" s="1"/>
  <c r="T40" i="5"/>
  <c r="T41" i="5" s="1"/>
  <c r="T42" i="5" s="1"/>
  <c r="V49" i="5"/>
  <c r="V50" i="5" s="1"/>
  <c r="AE50" i="5" s="1"/>
  <c r="V58" i="5"/>
  <c r="V59" i="5" s="1"/>
  <c r="AE60" i="5" s="1"/>
  <c r="S62" i="5"/>
  <c r="Z64" i="5" s="1"/>
  <c r="Z65" i="5" s="1"/>
  <c r="AA71" i="5"/>
  <c r="AB71" i="5"/>
  <c r="AB52" i="5"/>
  <c r="AA61" i="5"/>
  <c r="Z31" i="5"/>
  <c r="AB31" i="5" s="1"/>
  <c r="S79" i="5"/>
  <c r="V38" i="5"/>
  <c r="Z72" i="5" l="1"/>
  <c r="S72" i="5"/>
  <c r="AG50" i="5"/>
  <c r="AG51" i="5" s="1"/>
  <c r="AE51" i="5"/>
  <c r="AF50" i="5"/>
  <c r="AF51" i="5" s="1"/>
  <c r="AE61" i="5"/>
  <c r="AF60" i="5"/>
  <c r="AF61" i="5" s="1"/>
  <c r="AG60" i="5"/>
  <c r="AG61" i="5" s="1"/>
  <c r="V40" i="5"/>
  <c r="S81" i="5"/>
  <c r="V79" i="5" s="1"/>
  <c r="Z81" i="5"/>
  <c r="AA31" i="5"/>
  <c r="Z38" i="5"/>
  <c r="AA34" i="5"/>
  <c r="AB34" i="5"/>
  <c r="Z74" i="5" l="1"/>
  <c r="AB72" i="5"/>
  <c r="AB74" i="5" s="1"/>
  <c r="Z95" i="5" s="1"/>
  <c r="AA72" i="5"/>
  <c r="AA74" i="5" s="1"/>
  <c r="Z40" i="5"/>
  <c r="V41" i="5"/>
  <c r="V42" i="5" s="1"/>
  <c r="AB81" i="5"/>
  <c r="AB83" i="5" s="1"/>
  <c r="AA81" i="5"/>
  <c r="AA83" i="5" s="1"/>
  <c r="AF81" i="5" s="1"/>
  <c r="Z83" i="5"/>
  <c r="AE81" i="5" s="1"/>
  <c r="T43" i="5"/>
  <c r="V77" i="5" s="1"/>
  <c r="Z41" i="5"/>
  <c r="Z42" i="5" s="1"/>
  <c r="AB64" i="5"/>
  <c r="AA64" i="5"/>
  <c r="AB38" i="5"/>
  <c r="AB40" i="5" s="1"/>
  <c r="AA38" i="5"/>
  <c r="AA40" i="5" s="1"/>
  <c r="AG81" i="5" l="1"/>
  <c r="AC103" i="5"/>
  <c r="AC102" i="5"/>
  <c r="AC104" i="5"/>
  <c r="Z43" i="5"/>
  <c r="AA65" i="5"/>
  <c r="AB65" i="5"/>
  <c r="V69" i="5"/>
  <c r="AE71" i="5" s="1"/>
  <c r="V70" i="5"/>
  <c r="AE72" i="5" s="1"/>
  <c r="AB41" i="5"/>
  <c r="AB42" i="5" s="1"/>
  <c r="S63" i="5"/>
  <c r="Z53" i="5"/>
  <c r="AA41" i="5"/>
  <c r="AA42" i="5" s="1"/>
  <c r="AG72" i="5" l="1"/>
  <c r="AF72" i="5"/>
  <c r="AE79" i="5"/>
  <c r="V71" i="5"/>
  <c r="AG71" i="5"/>
  <c r="AE73" i="5"/>
  <c r="AF71" i="5"/>
  <c r="AA43" i="5"/>
  <c r="AB43" i="5"/>
  <c r="Z93" i="5" s="1"/>
  <c r="AB53" i="5"/>
  <c r="Z94" i="5" s="1"/>
  <c r="AG73" i="5" l="1"/>
  <c r="AG80" i="5" s="1"/>
  <c r="AE80" i="5"/>
  <c r="Z88" i="5" s="1"/>
  <c r="AG79" i="5"/>
  <c r="V78" i="5"/>
  <c r="V80" i="5" s="1"/>
  <c r="AF73" i="5"/>
  <c r="AF80" i="5" s="1"/>
  <c r="AA53" i="5"/>
  <c r="AF79" i="5" s="1"/>
  <c r="Z96" i="5" l="1"/>
  <c r="Z97" i="5" s="1"/>
  <c r="AB88" i="5"/>
  <c r="AE82" i="5"/>
  <c r="AA88" i="5"/>
  <c r="AG82" i="5"/>
  <c r="AF82" i="5"/>
  <c r="Z104" i="5" l="1"/>
  <c r="Z103" i="5"/>
  <c r="Z102" i="5"/>
  <c r="Z105" i="5"/>
  <c r="AA94" i="5"/>
  <c r="AA93" i="5"/>
  <c r="AA97" i="5"/>
  <c r="AA95" i="5"/>
  <c r="AA9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tc={43CD916D-131D-4557-927C-D65054DDF2C8}</author>
  </authors>
  <commentList>
    <comment ref="AF92" authorId="0" shapeId="0" xr:uid="{43CD916D-131D-4557-927C-D65054DDF2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Benzyl alcohol(15% weight per volume) 사용(180도, 30분)</t>
      </text>
    </comment>
  </commentList>
</comments>
</file>

<file path=xl/sharedStrings.xml><?xml version="1.0" encoding="utf-8"?>
<sst xmlns="http://schemas.openxmlformats.org/spreadsheetml/2006/main" count="538" uniqueCount="305">
  <si>
    <t>Material Unit Prices</t>
    <phoneticPr fontId="1" type="noConversion"/>
  </si>
  <si>
    <t>Waste PET</t>
    <phoneticPr fontId="1" type="noConversion"/>
  </si>
  <si>
    <t>Components</t>
    <phoneticPr fontId="1" type="noConversion"/>
  </si>
  <si>
    <t>Ref</t>
    <phoneticPr fontId="1" type="noConversion"/>
  </si>
  <si>
    <t>H2SO4</t>
    <phoneticPr fontId="1" type="noConversion"/>
  </si>
  <si>
    <t>H2O</t>
    <phoneticPr fontId="1" type="noConversion"/>
  </si>
  <si>
    <t>PMA</t>
    <phoneticPr fontId="1" type="noConversion"/>
  </si>
  <si>
    <t>DMSO</t>
    <phoneticPr fontId="1" type="noConversion"/>
  </si>
  <si>
    <t>Input</t>
    <phoneticPr fontId="1" type="noConversion"/>
  </si>
  <si>
    <t>TPA</t>
    <phoneticPr fontId="1" type="noConversion"/>
  </si>
  <si>
    <t>FA</t>
    <phoneticPr fontId="1" type="noConversion"/>
  </si>
  <si>
    <t>H2</t>
    <phoneticPr fontId="1" type="noConversion"/>
  </si>
  <si>
    <t>Output</t>
    <phoneticPr fontId="1" type="noConversion"/>
  </si>
  <si>
    <t>Terephthalic Acid(TPA)</t>
    <phoneticPr fontId="1" type="noConversion"/>
  </si>
  <si>
    <t>Formic Acid(FA)</t>
    <phoneticPr fontId="1" type="noConversion"/>
  </si>
  <si>
    <t>Phosphomolybdic Acid(PMA)</t>
    <phoneticPr fontId="1" type="noConversion"/>
  </si>
  <si>
    <t>Industrial PET</t>
    <phoneticPr fontId="1" type="noConversion"/>
  </si>
  <si>
    <t>-</t>
    <phoneticPr fontId="1" type="noConversion"/>
  </si>
  <si>
    <t>Material</t>
    <phoneticPr fontId="1" type="noConversion"/>
  </si>
  <si>
    <t>PET</t>
    <phoneticPr fontId="1" type="noConversion"/>
  </si>
  <si>
    <t>Experimental Flow rate(g)</t>
    <phoneticPr fontId="1" type="noConversion"/>
  </si>
  <si>
    <t>Molar mass(g/mol)</t>
    <phoneticPr fontId="1" type="noConversion"/>
  </si>
  <si>
    <t>1M H2SO4</t>
    <phoneticPr fontId="1" type="noConversion"/>
  </si>
  <si>
    <t>Density(g/mL, 25°C)</t>
    <phoneticPr fontId="1" type="noConversion"/>
  </si>
  <si>
    <t>Experimental Condition</t>
    <phoneticPr fontId="1" type="noConversion"/>
  </si>
  <si>
    <t>ICIS 2024</t>
    <phoneticPr fontId="1" type="noConversion"/>
  </si>
  <si>
    <t>Recycling Market 2024</t>
    <phoneticPr fontId="1" type="noConversion"/>
  </si>
  <si>
    <t>Echemi</t>
    <phoneticPr fontId="1" type="noConversion"/>
  </si>
  <si>
    <t>Made-in-China</t>
    <phoneticPr fontId="1" type="noConversion"/>
  </si>
  <si>
    <t>Dimethyl Sulfoxide(DMSO)</t>
    <phoneticPr fontId="1" type="noConversion"/>
  </si>
  <si>
    <t>Price</t>
    <phoneticPr fontId="1" type="noConversion"/>
  </si>
  <si>
    <t>Equipment</t>
    <phoneticPr fontId="1" type="noConversion"/>
  </si>
  <si>
    <t>Scale-up Flow rate(kg/y)</t>
    <phoneticPr fontId="1" type="noConversion"/>
  </si>
  <si>
    <t>Installation Factor</t>
    <phoneticPr fontId="1" type="noConversion"/>
  </si>
  <si>
    <t>Feedstock Pretreatment</t>
    <phoneticPr fontId="1" type="noConversion"/>
  </si>
  <si>
    <t>Conveyor transfer system</t>
    <phoneticPr fontId="1" type="noConversion"/>
  </si>
  <si>
    <t>Truck dumper package</t>
    <phoneticPr fontId="1" type="noConversion"/>
  </si>
  <si>
    <t>Dust collection system</t>
    <phoneticPr fontId="1" type="noConversion"/>
  </si>
  <si>
    <t>Feedstock storage dome</t>
    <phoneticPr fontId="1" type="noConversion"/>
  </si>
  <si>
    <t>Shredder</t>
    <phoneticPr fontId="1" type="noConversion"/>
  </si>
  <si>
    <t>Extruder</t>
    <phoneticPr fontId="1" type="noConversion"/>
  </si>
  <si>
    <t>Microgranulator</t>
    <phoneticPr fontId="1" type="noConversion"/>
  </si>
  <si>
    <t>PET Depolymerization</t>
    <phoneticPr fontId="1" type="noConversion"/>
  </si>
  <si>
    <t>Small particle conveyor</t>
    <phoneticPr fontId="1" type="noConversion"/>
  </si>
  <si>
    <t>Water recirculation pump</t>
    <phoneticPr fontId="1" type="noConversion"/>
  </si>
  <si>
    <t>Storage tanks</t>
    <phoneticPr fontId="1" type="noConversion"/>
  </si>
  <si>
    <t>Depolymerization reactor(7)</t>
    <phoneticPr fontId="1" type="noConversion"/>
  </si>
  <si>
    <t>Reactor effluent cooler</t>
    <phoneticPr fontId="1" type="noConversion"/>
  </si>
  <si>
    <t>PMA storage and transfer</t>
    <phoneticPr fontId="1" type="noConversion"/>
  </si>
  <si>
    <t>Solids filter package</t>
    <phoneticPr fontId="1" type="noConversion"/>
  </si>
  <si>
    <t>Feedstock Pretreatment total($)</t>
    <phoneticPr fontId="1" type="noConversion"/>
  </si>
  <si>
    <t>PET Depolymerization total($)</t>
    <phoneticPr fontId="1" type="noConversion"/>
  </si>
  <si>
    <t>Total($)</t>
    <phoneticPr fontId="1" type="noConversion"/>
  </si>
  <si>
    <t>OSBL</t>
    <phoneticPr fontId="1" type="noConversion"/>
  </si>
  <si>
    <t>Outside battery limits capital(25% of ISBL)</t>
    <phoneticPr fontId="1" type="noConversion"/>
  </si>
  <si>
    <t>OSBL total($)</t>
    <phoneticPr fontId="1" type="noConversion"/>
  </si>
  <si>
    <t>Installed Cost</t>
    <phoneticPr fontId="1" type="noConversion"/>
  </si>
  <si>
    <t>Equipment Cost</t>
    <phoneticPr fontId="1" type="noConversion"/>
  </si>
  <si>
    <t>CEPCI(2023)</t>
    <phoneticPr fontId="1" type="noConversion"/>
  </si>
  <si>
    <t>CEPCI(2016)</t>
    <phoneticPr fontId="1" type="noConversion"/>
  </si>
  <si>
    <t>Scaling factor</t>
    <phoneticPr fontId="1" type="noConversion"/>
  </si>
  <si>
    <t>Electrolyzer($/m^2)</t>
    <phoneticPr fontId="1" type="noConversion"/>
  </si>
  <si>
    <t>Electricity($/kWh)</t>
    <phoneticPr fontId="1" type="noConversion"/>
  </si>
  <si>
    <t>Mechanical Crushing Electricity($/ton PET)</t>
    <phoneticPr fontId="1" type="noConversion"/>
  </si>
  <si>
    <r>
      <t>Reactor heating(100</t>
    </r>
    <r>
      <rPr>
        <sz val="11"/>
        <color theme="1"/>
        <rFont val="맑은 고딕"/>
        <family val="3"/>
        <charset val="129"/>
      </rPr>
      <t>°C</t>
    </r>
    <r>
      <rPr>
        <sz val="11"/>
        <color theme="1"/>
        <rFont val="맑은 고딕"/>
        <family val="2"/>
        <charset val="129"/>
        <scheme val="minor"/>
      </rPr>
      <t>) Electricity($/ton PET)</t>
    </r>
    <phoneticPr fontId="1" type="noConversion"/>
  </si>
  <si>
    <t>Assumptions</t>
    <phoneticPr fontId="1" type="noConversion"/>
  </si>
  <si>
    <t>Maintenance cost per year / CAPEX</t>
    <phoneticPr fontId="1" type="noConversion"/>
  </si>
  <si>
    <t>FA distillation</t>
    <phoneticPr fontId="1" type="noConversion"/>
  </si>
  <si>
    <t>Yield</t>
    <phoneticPr fontId="1" type="noConversion"/>
  </si>
  <si>
    <t>Input PET</t>
    <phoneticPr fontId="1" type="noConversion"/>
  </si>
  <si>
    <t>Mass(g)</t>
    <phoneticPr fontId="1" type="noConversion"/>
  </si>
  <si>
    <t>Output TPA</t>
    <phoneticPr fontId="1" type="noConversion"/>
  </si>
  <si>
    <t>Output FA</t>
    <phoneticPr fontId="1" type="noConversion"/>
  </si>
  <si>
    <t>Electricity</t>
    <phoneticPr fontId="1" type="noConversion"/>
  </si>
  <si>
    <t>Mechanical crushing</t>
    <phoneticPr fontId="1" type="noConversion"/>
  </si>
  <si>
    <t>Maintenance</t>
    <phoneticPr fontId="1" type="noConversion"/>
  </si>
  <si>
    <t>Discount rate(%)</t>
    <phoneticPr fontId="1" type="noConversion"/>
  </si>
  <si>
    <t>Life time(y)</t>
    <phoneticPr fontId="1" type="noConversion"/>
  </si>
  <si>
    <t>Capital recovery factor</t>
    <phoneticPr fontId="1" type="noConversion"/>
  </si>
  <si>
    <t>Capital Cost(2016$, 6.25 ton PET)</t>
    <phoneticPr fontId="1" type="noConversion"/>
  </si>
  <si>
    <t>Capital Cost(2023$, 1 ton PET)</t>
    <phoneticPr fontId="1" type="noConversion"/>
  </si>
  <si>
    <t>Parameter</t>
    <phoneticPr fontId="1" type="noConversion"/>
  </si>
  <si>
    <t>Cost($/y)</t>
    <phoneticPr fontId="1" type="noConversion"/>
  </si>
  <si>
    <t>Capacity Factor</t>
    <phoneticPr fontId="1" type="noConversion"/>
  </si>
  <si>
    <t>Nat Commun 12, 4679 (2021)</t>
  </si>
  <si>
    <t>Joule 5, 2479-2503 (2021)</t>
    <phoneticPr fontId="1" type="noConversion"/>
  </si>
  <si>
    <t>Nano Lett. 24, 9768-9775 (2024)</t>
    <phoneticPr fontId="1" type="noConversion"/>
  </si>
  <si>
    <t>Annualized Capital Cost($/y)</t>
    <phoneticPr fontId="1" type="noConversion"/>
  </si>
  <si>
    <t>Operation</t>
    <phoneticPr fontId="1" type="noConversion"/>
  </si>
  <si>
    <t>Operating cost per year / CAPEX</t>
    <phoneticPr fontId="1" type="noConversion"/>
  </si>
  <si>
    <t>Total($/y)</t>
    <phoneticPr fontId="1" type="noConversion"/>
  </si>
  <si>
    <t>Low Cost($/kg)</t>
    <phoneticPr fontId="1" type="noConversion"/>
  </si>
  <si>
    <t>High Cost($/kg)</t>
    <phoneticPr fontId="1" type="noConversion"/>
  </si>
  <si>
    <t>Mole(mol)</t>
    <phoneticPr fontId="1" type="noConversion"/>
  </si>
  <si>
    <t>H2 Electrolysis Energy(kWh/kg H2)</t>
    <phoneticPr fontId="1" type="noConversion"/>
  </si>
  <si>
    <t>CAPEX($/y)</t>
    <phoneticPr fontId="1" type="noConversion"/>
  </si>
  <si>
    <t>OPEX($/y)</t>
    <phoneticPr fontId="1" type="noConversion"/>
  </si>
  <si>
    <t>Revenue($/y)</t>
    <phoneticPr fontId="1" type="noConversion"/>
  </si>
  <si>
    <t>Profit($/y)</t>
    <phoneticPr fontId="1" type="noConversion"/>
  </si>
  <si>
    <t>0.1g PET, 0.5M PMA, 10ml(1M H2SO4 : DMSO = 1:1 v/v)</t>
    <phoneticPr fontId="1" type="noConversion"/>
  </si>
  <si>
    <t>Scale-up Flow rate(kg/2h)</t>
    <phoneticPr fontId="1" type="noConversion"/>
  </si>
  <si>
    <t>Route3(FA, 2H) Profit</t>
    <phoneticPr fontId="1" type="noConversion"/>
  </si>
  <si>
    <t>DMSO recovery(%)</t>
    <phoneticPr fontId="1" type="noConversion"/>
  </si>
  <si>
    <t>Capital Cost(2023$, 5 ton PET)</t>
    <phoneticPr fontId="1" type="noConversion"/>
  </si>
  <si>
    <t>Capital Cost(2023$, 10 ton PET)</t>
    <phoneticPr fontId="1" type="noConversion"/>
  </si>
  <si>
    <t>Separation Electricity = Reactor Electricity</t>
    <phoneticPr fontId="1" type="noConversion"/>
  </si>
  <si>
    <t>PET 1ton</t>
    <phoneticPr fontId="1" type="noConversion"/>
  </si>
  <si>
    <t>PET 5ton</t>
    <phoneticPr fontId="1" type="noConversion"/>
  </si>
  <si>
    <t>PET 10ton</t>
    <phoneticPr fontId="1" type="noConversion"/>
  </si>
  <si>
    <t>$/kg TPA</t>
    <phoneticPr fontId="1" type="noConversion"/>
  </si>
  <si>
    <t>Route3(FA, 2H) MSP of TPA</t>
    <phoneticPr fontId="1" type="noConversion"/>
  </si>
  <si>
    <t>Total Catalyst &amp; Membrane cost / Electrolyzer</t>
    <phoneticPr fontId="1" type="noConversion"/>
  </si>
  <si>
    <t>DMSO makeup($/h)</t>
    <phoneticPr fontId="1" type="noConversion"/>
  </si>
  <si>
    <t>CAPEX</t>
    <phoneticPr fontId="1" type="noConversion"/>
  </si>
  <si>
    <t>OPEX</t>
    <phoneticPr fontId="1" type="noConversion"/>
  </si>
  <si>
    <t>Feedstock Cost</t>
    <phoneticPr fontId="1" type="noConversion"/>
  </si>
  <si>
    <t>Utility Cost</t>
    <phoneticPr fontId="1" type="noConversion"/>
  </si>
  <si>
    <t>Portion(%)</t>
    <phoneticPr fontId="1" type="noConversion"/>
  </si>
  <si>
    <t>Total</t>
    <phoneticPr fontId="1" type="noConversion"/>
  </si>
  <si>
    <t>Value($/y)</t>
    <phoneticPr fontId="1" type="noConversion"/>
  </si>
  <si>
    <t>Cost Breakdown(10 ton PET)</t>
    <phoneticPr fontId="1" type="noConversion"/>
  </si>
  <si>
    <t>Caustic storage and transfer</t>
    <phoneticPr fontId="1" type="noConversion"/>
  </si>
  <si>
    <t>TPA Filteration &amp; Crystallization</t>
  </si>
  <si>
    <t>TPA Filteration &amp; Crystallization</t>
    <phoneticPr fontId="1" type="noConversion"/>
  </si>
  <si>
    <t>rTPA crystallizer</t>
    <phoneticPr fontId="1" type="noConversion"/>
  </si>
  <si>
    <t>rTPA centrifuge</t>
    <phoneticPr fontId="1" type="noConversion"/>
  </si>
  <si>
    <t>rTPA crystals dryer</t>
    <phoneticPr fontId="1" type="noConversion"/>
  </si>
  <si>
    <t>Electrolyzer</t>
    <phoneticPr fontId="1" type="noConversion"/>
  </si>
  <si>
    <t>H2 production</t>
    <phoneticPr fontId="1" type="noConversion"/>
  </si>
  <si>
    <t>Current Density (mA/cm2)</t>
    <phoneticPr fontId="1" type="noConversion"/>
  </si>
  <si>
    <t>Cell Voltage(V)</t>
    <phoneticPr fontId="1" type="noConversion"/>
  </si>
  <si>
    <t>Faradaic Efficiency(%)</t>
    <phoneticPr fontId="1" type="noConversion"/>
  </si>
  <si>
    <t>Required Electrolyzer Area(m2)</t>
    <phoneticPr fontId="1" type="noConversion"/>
  </si>
  <si>
    <t>Required Electrolysis Energy(kWh/y)</t>
    <phoneticPr fontId="1" type="noConversion"/>
  </si>
  <si>
    <t>Reaction time(1Batch, hour)</t>
    <phoneticPr fontId="1" type="noConversion"/>
  </si>
  <si>
    <t>Output H2</t>
    <phoneticPr fontId="1" type="noConversion"/>
  </si>
  <si>
    <t>H2 storage tank</t>
    <phoneticPr fontId="1" type="noConversion"/>
  </si>
  <si>
    <t>Electrolysis</t>
    <phoneticPr fontId="1" type="noConversion"/>
  </si>
  <si>
    <t>Electrolysis total($)</t>
    <phoneticPr fontId="1" type="noConversion"/>
  </si>
  <si>
    <t>TPA Filteration &amp; Crystallization total($)</t>
    <phoneticPr fontId="1" type="noConversion"/>
  </si>
  <si>
    <t>FA distillation CAPEX($/kg FA)</t>
    <phoneticPr fontId="1" type="noConversion"/>
  </si>
  <si>
    <t>FA distillation OPEX($/kg FA)</t>
    <phoneticPr fontId="1" type="noConversion"/>
  </si>
  <si>
    <t>Ind. Eng. Chem. Res. 2021, 60, 5588-5599</t>
  </si>
  <si>
    <t>H2O makeup($/h)</t>
    <phoneticPr fontId="1" type="noConversion"/>
  </si>
  <si>
    <t>Feedstock &amp; Product</t>
    <phoneticPr fontId="1" type="noConversion"/>
  </si>
  <si>
    <t>CAPEX (Equipment)</t>
    <phoneticPr fontId="1" type="noConversion"/>
  </si>
  <si>
    <t>CAPEX (Feedstock)</t>
    <phoneticPr fontId="1" type="noConversion"/>
  </si>
  <si>
    <t>OPEX (Feedstock)</t>
    <phoneticPr fontId="1" type="noConversion"/>
  </si>
  <si>
    <t>OPEX (Utility)</t>
    <phoneticPr fontId="1" type="noConversion"/>
  </si>
  <si>
    <t>OPEX (Operation)</t>
    <phoneticPr fontId="1" type="noConversion"/>
  </si>
  <si>
    <t>Heat</t>
    <phoneticPr fontId="1" type="noConversion"/>
  </si>
  <si>
    <t>Revenue</t>
    <phoneticPr fontId="1" type="noConversion"/>
  </si>
  <si>
    <t>Profit</t>
    <phoneticPr fontId="1" type="noConversion"/>
  </si>
  <si>
    <t>10 ton PET Cost($/y)</t>
    <phoneticPr fontId="1" type="noConversion"/>
  </si>
  <si>
    <t>5 ton PET Cost($/y)</t>
    <phoneticPr fontId="1" type="noConversion"/>
  </si>
  <si>
    <t>1 ton PET Cost($/y)</t>
    <phoneticPr fontId="1" type="noConversion"/>
  </si>
  <si>
    <t>ACS Sustainable Chem. Eng. 2023, 11, 965−978</t>
  </si>
  <si>
    <t>Mechanical recycling</t>
    <phoneticPr fontId="1" type="noConversion"/>
  </si>
  <si>
    <t>Solvent-based recycling</t>
    <phoneticPr fontId="1" type="noConversion"/>
  </si>
  <si>
    <t>Green Chem., 2022, 24, 6531</t>
    <phoneticPr fontId="1" type="noConversion"/>
  </si>
  <si>
    <t>Joule 5, 2479–2503 (2021)</t>
    <phoneticPr fontId="1" type="noConversion"/>
  </si>
  <si>
    <t>Enzymatic degradation</t>
    <phoneticPr fontId="1" type="noConversion"/>
  </si>
  <si>
    <t>Methanolysis</t>
    <phoneticPr fontId="1" type="noConversion"/>
  </si>
  <si>
    <t>FA output concentration(wt%)</t>
    <phoneticPr fontId="1" type="noConversion"/>
  </si>
  <si>
    <t>Boiling point(°C)</t>
    <phoneticPr fontId="1" type="noConversion"/>
  </si>
  <si>
    <r>
      <t>Cp(J/g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>°C)</t>
    </r>
    <phoneticPr fontId="1" type="noConversion"/>
  </si>
  <si>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</rPr>
      <t>H</t>
    </r>
    <r>
      <rPr>
        <sz val="11"/>
        <color theme="1"/>
        <rFont val="맑은 고딕"/>
        <family val="3"/>
        <charset val="129"/>
        <scheme val="minor"/>
      </rPr>
      <t>vap</t>
    </r>
    <r>
      <rPr>
        <sz val="11"/>
        <color theme="1"/>
        <rFont val="맑은 고딕"/>
        <family val="3"/>
        <charset val="161"/>
        <scheme val="minor"/>
      </rPr>
      <t>(</t>
    </r>
    <r>
      <rPr>
        <sz val="11"/>
        <color theme="1"/>
        <rFont val="Calibri"/>
        <family val="3"/>
      </rPr>
      <t>J/g)</t>
    </r>
    <phoneticPr fontId="1" type="noConversion"/>
  </si>
  <si>
    <t>Heat duty calculation</t>
    <phoneticPr fontId="1" type="noConversion"/>
  </si>
  <si>
    <r>
      <t xml:space="preserve">Reactor(100°C) </t>
    </r>
    <r>
      <rPr>
        <sz val="11"/>
        <color theme="1"/>
        <rFont val="맑은 고딕"/>
        <family val="3"/>
        <charset val="129"/>
      </rPr>
      <t>→ Electrolyzer(25°C)</t>
    </r>
    <phoneticPr fontId="1" type="noConversion"/>
  </si>
  <si>
    <r>
      <t xml:space="preserve">Electrolyzer(25°C) </t>
    </r>
    <r>
      <rPr>
        <sz val="11"/>
        <color theme="1"/>
        <rFont val="맑은 고딕"/>
        <family val="3"/>
        <charset val="129"/>
      </rPr>
      <t>→ Vessel(180°C)</t>
    </r>
    <phoneticPr fontId="1" type="noConversion"/>
  </si>
  <si>
    <r>
      <t xml:space="preserve">Vessel(180°C) </t>
    </r>
    <r>
      <rPr>
        <sz val="11"/>
        <color theme="1"/>
        <rFont val="맑은 고딕"/>
        <family val="3"/>
        <charset val="129"/>
      </rPr>
      <t>→ Reactor(100°C)</t>
    </r>
    <phoneticPr fontId="1" type="noConversion"/>
  </si>
  <si>
    <t>Total Heat duty</t>
    <phoneticPr fontId="1" type="noConversion"/>
  </si>
  <si>
    <t>Heat duty(J)</t>
    <phoneticPr fontId="1" type="noConversion"/>
  </si>
  <si>
    <t>Heat duty(GJ)</t>
    <phoneticPr fontId="1" type="noConversion"/>
  </si>
  <si>
    <t>PMA makeup($/h)</t>
    <phoneticPr fontId="1" type="noConversion"/>
  </si>
  <si>
    <t>H2SO4 makeup($/h)</t>
    <phoneticPr fontId="1" type="noConversion"/>
  </si>
  <si>
    <t>PMA recovery(%)</t>
    <phoneticPr fontId="1" type="noConversion"/>
  </si>
  <si>
    <t>H2SO4 recovery(%)</t>
    <phoneticPr fontId="1" type="noConversion"/>
  </si>
  <si>
    <t>Medium pressure steam($/GJ)</t>
    <phoneticPr fontId="1" type="noConversion"/>
  </si>
  <si>
    <t>Heating Assumption</t>
    <phoneticPr fontId="1" type="noConversion"/>
  </si>
  <si>
    <t>Value</t>
    <phoneticPr fontId="1" type="noConversion"/>
  </si>
  <si>
    <t>Total Heat duty(GJ)</t>
    <phoneticPr fontId="1" type="noConversion"/>
  </si>
  <si>
    <t>Heating cost($/ton PET)</t>
    <phoneticPr fontId="1" type="noConversion"/>
  </si>
  <si>
    <t>FA distillation Assumption</t>
    <phoneticPr fontId="1" type="noConversion"/>
  </si>
  <si>
    <t>CAPEX (Distillation)</t>
    <phoneticPr fontId="1" type="noConversion"/>
  </si>
  <si>
    <t>OPEX (Distillation)</t>
    <phoneticPr fontId="1" type="noConversion"/>
  </si>
  <si>
    <t>MSP of Other methods</t>
    <phoneticPr fontId="1" type="noConversion"/>
  </si>
  <si>
    <t>Kepco data</t>
    <phoneticPr fontId="1" type="noConversion"/>
  </si>
  <si>
    <t>Turton et al., Chem. Process Design, 5th ed. (2018)</t>
    <phoneticPr fontId="1" type="noConversion"/>
  </si>
  <si>
    <t>Glycolysis</t>
    <phoneticPr fontId="1" type="noConversion"/>
  </si>
  <si>
    <t>Virgin TPA</t>
    <phoneticPr fontId="1" type="noConversion"/>
  </si>
  <si>
    <t>Chem. Eng. Journal 481 (2024) 148278</t>
    <phoneticPr fontId="1" type="noConversion"/>
  </si>
  <si>
    <t>Cost Breakdown of sub items (10 ton PET)</t>
    <phoneticPr fontId="1" type="noConversion"/>
  </si>
  <si>
    <t>Revenue Breakdown</t>
    <phoneticPr fontId="1" type="noConversion"/>
  </si>
  <si>
    <t>MSP of TPA</t>
    <phoneticPr fontId="1" type="noConversion"/>
  </si>
  <si>
    <t>Sensitivity Analysis (10 ton PET)</t>
    <phoneticPr fontId="1" type="noConversion"/>
  </si>
  <si>
    <t>H2 price($/kg)</t>
    <phoneticPr fontId="1" type="noConversion"/>
  </si>
  <si>
    <t>PET Degradation Techno-Economic Analysis (TEA) Summary</t>
  </si>
  <si>
    <t>0.1g PET, 0.5M PMA, 10ml (1M H₂SO₄ : DMSO = 1:1 v/v), 2H Reaction</t>
  </si>
  <si>
    <t>1. Experimental Conditions &amp; Scale-up</t>
  </si>
  <si>
    <t>Parameter</t>
  </si>
  <si>
    <t>Experimental (g)</t>
  </si>
  <si>
    <t>Scale-up (kg/2h)</t>
  </si>
  <si>
    <t>Annual (kg/y)</t>
  </si>
  <si>
    <t>PET (Input)</t>
  </si>
  <si>
    <t>PMA</t>
  </si>
  <si>
    <t>H₂SO₄</t>
  </si>
  <si>
    <t>DMSO</t>
  </si>
  <si>
    <t>H₂O</t>
  </si>
  <si>
    <t>TPA (Output)</t>
  </si>
  <si>
    <t>FA (Output)</t>
  </si>
  <si>
    <t>H₂ (Output)</t>
  </si>
  <si>
    <t>2. Key Assumptions</t>
  </si>
  <si>
    <t>Value</t>
  </si>
  <si>
    <t>Ref</t>
  </si>
  <si>
    <t>Reaction time (1 Batch)</t>
  </si>
  <si>
    <t>Discount rate</t>
  </si>
  <si>
    <t>Lifetime</t>
  </si>
  <si>
    <t>Capital recovery factor</t>
  </si>
  <si>
    <t>Capacity factor</t>
  </si>
  <si>
    <t>Scaling factor</t>
  </si>
  <si>
    <t>CEPCI (2016 → 2023)</t>
  </si>
  <si>
    <t>541.7 → 800.8</t>
  </si>
  <si>
    <t>Electrolyzer ($/m²)</t>
  </si>
  <si>
    <t>Electricity ($/kWh)</t>
  </si>
  <si>
    <t>DMSO recovery (%)</t>
  </si>
  <si>
    <t>PMA recovery (%)</t>
  </si>
  <si>
    <t>3. CAPEX Summary (Equipment + Installation)</t>
  </si>
  <si>
    <t>Equipment Category</t>
  </si>
  <si>
    <t>1 ton PET ($/y)</t>
  </si>
  <si>
    <t>5 ton PET ($/y)</t>
  </si>
  <si>
    <t>10 ton PET ($/y)</t>
  </si>
  <si>
    <t>Feedstock Pretreatment</t>
  </si>
  <si>
    <t>PET Depolymerization</t>
  </si>
  <si>
    <t>TPA Filtration &amp; Crystallization</t>
  </si>
  <si>
    <t>Electrolysis</t>
  </si>
  <si>
    <t>OSBL (25% of ISBL)</t>
  </si>
  <si>
    <t>Total Equipment CAPEX</t>
  </si>
  <si>
    <t>Annualized Equipment CAPEX</t>
  </si>
  <si>
    <t>Annualized CAPEX - Feedstock (Initial)</t>
  </si>
  <si>
    <t>Annualized CAPEX - FA Distillation</t>
  </si>
  <si>
    <t>Total Annualized CAPEX</t>
  </si>
  <si>
    <t>4. OPEX Summary (Annual Operating Cost)</t>
  </si>
  <si>
    <t>OPEX Category</t>
  </si>
  <si>
    <t xml:space="preserve">  Feedstock - PET</t>
  </si>
  <si>
    <t xml:space="preserve">  Feedstock - DMSO makeup</t>
  </si>
  <si>
    <t xml:space="preserve">  Feedstock - PMA makeup</t>
  </si>
  <si>
    <t xml:space="preserve">  Feedstock - H₂SO₄ makeup</t>
  </si>
  <si>
    <t xml:space="preserve">  Feedstock - H₂O makeup</t>
  </si>
  <si>
    <t>Feedstock Total</t>
  </si>
  <si>
    <t xml:space="preserve">  Utility - Electricity (H₂ Electrolysis)</t>
  </si>
  <si>
    <t xml:space="preserve">  Utility - Heat</t>
  </si>
  <si>
    <t xml:space="preserve">  Utility - Mechanical crushing</t>
  </si>
  <si>
    <t>Utility Total</t>
  </si>
  <si>
    <t xml:space="preserve">  FA Distillation OPEX</t>
  </si>
  <si>
    <t xml:space="preserve">  Maintenance (10% of CAPEX)</t>
  </si>
  <si>
    <t xml:space="preserve">  Operation (10% of CAPEX)</t>
  </si>
  <si>
    <t>Operation Total</t>
  </si>
  <si>
    <t>Total OPEX</t>
  </si>
  <si>
    <t>5. Revenue (Annual)</t>
  </si>
  <si>
    <t>Product</t>
  </si>
  <si>
    <t>Unit Price ($/kg)</t>
  </si>
  <si>
    <t>TPA</t>
  </si>
  <si>
    <t>FA</t>
  </si>
  <si>
    <t>H₂</t>
  </si>
  <si>
    <t>Total Revenue</t>
  </si>
  <si>
    <t>6. Profitability Analysis</t>
  </si>
  <si>
    <t>Total CAPEX (Annualized)</t>
  </si>
  <si>
    <t>Total Cost</t>
  </si>
  <si>
    <t>Net Profit</t>
  </si>
  <si>
    <t>7. MSP (Minimum Selling Price of TPA)</t>
  </si>
  <si>
    <t>Scale</t>
  </si>
  <si>
    <t>MSP ($/kg TPA)</t>
  </si>
  <si>
    <t>1 ton PET / batch</t>
  </si>
  <si>
    <t>5 ton PET / batch</t>
  </si>
  <si>
    <t>10 ton PET / batch</t>
  </si>
  <si>
    <t>8. Cost Breakdown (10 ton PET)</t>
  </si>
  <si>
    <t>Category</t>
  </si>
  <si>
    <t>Value ($/y)</t>
  </si>
  <si>
    <t>Portion (%)</t>
  </si>
  <si>
    <t>CAPEX (Annualized)</t>
  </si>
  <si>
    <t>Feedstock Cost</t>
  </si>
  <si>
    <t>Utility Cost</t>
  </si>
  <si>
    <t>Operation (Maint. + Oper. + Distillation)</t>
  </si>
  <si>
    <t>Total</t>
  </si>
  <si>
    <t>Revenue Breakdown (10 ton PET)</t>
  </si>
  <si>
    <t>9. MSP Comparison with Other Methods</t>
  </si>
  <si>
    <t>Method</t>
  </si>
  <si>
    <t>Reference</t>
  </si>
  <si>
    <t>This study (10 ton PET)</t>
  </si>
  <si>
    <t>-</t>
  </si>
  <si>
    <t>Glycolysis</t>
  </si>
  <si>
    <t>Methanolysis</t>
  </si>
  <si>
    <t>Enzymatic degradation</t>
  </si>
  <si>
    <t>Enzymatic degradation (2)</t>
  </si>
  <si>
    <t>Solvent-based recycling</t>
  </si>
  <si>
    <t>Mechanical recycling</t>
  </si>
  <si>
    <t>Virgin TPA</t>
  </si>
  <si>
    <t>10. Sensitivity Analysis (10 ton PET)</t>
  </si>
  <si>
    <t>DMSO Recovery (%)</t>
  </si>
  <si>
    <t>H₂ Price ($/kg)</t>
  </si>
  <si>
    <t>$8/kg</t>
  </si>
  <si>
    <t>$6/kg</t>
  </si>
  <si>
    <t>$4/kg</t>
  </si>
  <si>
    <t>$2/kg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</si>
</sst>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.00000"/>
    <numFmt numFmtId="177" formatCode="0.00000_);[Red]\(0.00000\)"/>
    <numFmt numFmtId="178" formatCode="#,##0.000"/>
    <numFmt numFmtId="179" formatCode="#,##0.0000"/>
    <numFmt numFmtId="180" formatCode="0\ &quot;hours&quot;"/>
    <numFmt numFmtId="181" formatCode="0\ &quot;years&quot;"/>
    <numFmt numFmtId="182" formatCode="0.0000"/>
    <numFmt numFmtId="183" formatCode="0.0"/>
    <numFmt numFmtId="184" formatCode="&quot;₩&quot;#,##0"/>
    <numFmt numFmtId="185" formatCode="&quot;₩&quot;0.0000"/>
    <numFmt numFmtId="186" formatCode="0.000&quot;%&quot;"/>
    <numFmt numFmtId="187" formatCode="0&quot;%&quot;"/>
    <numFmt numFmtId="188" formatCode="&quot;₩&quot;#,##0.00"/>
    <numFmt numFmtId="189" formatCode="&quot;₩&quot;#,##0;\(&quot;₩&quot;#,##0\);\-"/>
    <numFmt numFmtId="190" formatCode="0.0&quot;%&quot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222222"/>
      <name val="Segoe UI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11"/>
      <color theme="1"/>
      <name val="Calibri"/>
      <family val="3"/>
    </font>
    <font>
      <sz val="11"/>
      <color theme="1"/>
      <name val="맑은 고딕"/>
      <family val="3"/>
      <charset val="161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rgb="FF1F4E79"/>
      <name val="맑은 고딕"/>
      <family val="2"/>
      <charset val="129"/>
      <scheme val="minor"/>
    </font>
    <font>
      <sz val="10"/>
      <color rgb="FF808080"/>
      <name val="맑은 고딕"/>
      <family val="2"/>
      <charset val="129"/>
      <scheme val="minor"/>
    </font>
    <font>
      <b/>
      <sz val="12"/>
      <color rgb="FF1F4E79"/>
      <name val="맑은 고딕"/>
      <family val="2"/>
      <charset val="129"/>
      <scheme val="minor"/>
    </font>
    <font>
      <sz val="11"/>
      <color rgb="FF008000"/>
      <name val="맑은 고딕"/>
      <family val="2"/>
      <charset val="129"/>
      <scheme val="minor"/>
    </font>
    <font>
      <b/>
      <sz val="11"/>
      <color rgb="FF008000"/>
      <name val="맑은 고딕"/>
      <family val="2"/>
      <charset val="129"/>
      <scheme val="minor"/>
    </font>
    <font>
      <b/>
      <sz val="11"/>
      <color rgb="FFC0000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auto="1"/>
      </right>
      <top style="thin">
        <color rgb="FFD9D9D9"/>
      </top>
      <bottom/>
      <diagonal/>
    </border>
    <border>
      <left style="thin">
        <color auto="1"/>
      </left>
      <right style="thin">
        <color rgb="FFD9D9D9"/>
      </right>
      <top style="medium">
        <color rgb="FFD9D9D9"/>
      </top>
      <bottom style="double">
        <color auto="1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double">
        <color auto="1"/>
      </bottom>
      <diagonal/>
    </border>
    <border>
      <left style="thin">
        <color rgb="FFD9D9D9"/>
      </left>
      <right style="thin">
        <color auto="1"/>
      </right>
      <top style="medium">
        <color rgb="FFD9D9D9"/>
      </top>
      <bottom style="double">
        <color auto="1"/>
      </bottom>
      <diagonal/>
    </border>
    <border>
      <left style="thin">
        <color auto="1"/>
      </left>
      <right style="thin">
        <color rgb="FFD9D9D9"/>
      </right>
      <top style="medium">
        <color rgb="FFD9D9D9"/>
      </top>
      <bottom style="double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double">
        <color rgb="FFD9D9D9"/>
      </bottom>
      <diagonal/>
    </border>
    <border>
      <left style="thin">
        <color rgb="FFD9D9D9"/>
      </left>
      <right style="thin">
        <color auto="1"/>
      </right>
      <top style="medium">
        <color rgb="FFD9D9D9"/>
      </top>
      <bottom style="double">
        <color rgb="FFD9D9D9"/>
      </bottom>
      <diagonal/>
    </border>
    <border>
      <left style="thin">
        <color auto="1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4" fontId="0" fillId="2" borderId="1" xfId="0" applyNumberFormat="1" applyFill="1" applyBorder="1" applyAlignment="1">
      <alignment horizontal="center" vertical="center"/>
    </xf>
    <xf numFmtId="4" fontId="0" fillId="0" borderId="0" xfId="0" applyNumberFormat="1">
      <alignment vertical="center"/>
    </xf>
    <xf numFmtId="4" fontId="0" fillId="0" borderId="1" xfId="0" applyNumberFormat="1" applyBorder="1" applyAlignment="1">
      <alignment horizontal="center" vertical="center"/>
    </xf>
    <xf numFmtId="4" fontId="0" fillId="2" borderId="7" xfId="0" applyNumberFormat="1" applyFill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2" borderId="4" xfId="0" applyNumberFormat="1" applyFill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 wrapText="1"/>
    </xf>
    <xf numFmtId="4" fontId="0" fillId="0" borderId="1" xfId="0" applyNumberFormat="1" applyBorder="1">
      <alignment vertical="center"/>
    </xf>
    <xf numFmtId="4" fontId="0" fillId="0" borderId="4" xfId="0" applyNumberFormat="1" applyBorder="1">
      <alignment vertical="center"/>
    </xf>
    <xf numFmtId="4" fontId="0" fillId="0" borderId="7" xfId="0" applyNumberFormat="1" applyBorder="1">
      <alignment vertical="center"/>
    </xf>
    <xf numFmtId="4" fontId="3" fillId="0" borderId="1" xfId="0" applyNumberFormat="1" applyFont="1" applyBorder="1">
      <alignment vertical="center"/>
    </xf>
    <xf numFmtId="4" fontId="3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4" fontId="3" fillId="0" borderId="2" xfId="0" applyNumberFormat="1" applyFont="1" applyBorder="1">
      <alignment vertical="center"/>
    </xf>
    <xf numFmtId="4" fontId="3" fillId="0" borderId="8" xfId="0" applyNumberFormat="1" applyFont="1" applyBorder="1">
      <alignment vertical="center"/>
    </xf>
    <xf numFmtId="4" fontId="3" fillId="0" borderId="1" xfId="0" applyNumberFormat="1" applyFont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center" vertical="center"/>
    </xf>
    <xf numFmtId="4" fontId="0" fillId="2" borderId="1" xfId="0" applyNumberFormat="1" applyFill="1" applyBorder="1">
      <alignment vertical="center"/>
    </xf>
    <xf numFmtId="4" fontId="0" fillId="2" borderId="1" xfId="0" applyNumberFormat="1" applyFill="1" applyBorder="1" applyAlignment="1">
      <alignment horizontal="left" vertical="center"/>
    </xf>
    <xf numFmtId="4" fontId="0" fillId="0" borderId="2" xfId="0" applyNumberFormat="1" applyBorder="1">
      <alignment vertical="center"/>
    </xf>
    <xf numFmtId="4" fontId="3" fillId="2" borderId="8" xfId="0" applyNumberFormat="1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4" fontId="6" fillId="0" borderId="7" xfId="0" applyNumberFormat="1" applyFont="1" applyBorder="1" applyAlignment="1">
      <alignment horizontal="right" vertical="center"/>
    </xf>
    <xf numFmtId="4" fontId="0" fillId="0" borderId="6" xfId="0" applyNumberFormat="1" applyBorder="1" applyAlignment="1">
      <alignment horizontal="center" vertical="center"/>
    </xf>
    <xf numFmtId="4" fontId="0" fillId="0" borderId="8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4" fontId="0" fillId="2" borderId="2" xfId="0" applyNumberFormat="1" applyFill="1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4" fontId="6" fillId="0" borderId="2" xfId="0" applyNumberFormat="1" applyFont="1" applyBorder="1" applyAlignment="1">
      <alignment horizontal="right" vertical="center"/>
    </xf>
    <xf numFmtId="4" fontId="6" fillId="2" borderId="1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4" fontId="0" fillId="3" borderId="1" xfId="0" applyNumberFormat="1" applyFill="1" applyBorder="1">
      <alignment vertical="center"/>
    </xf>
    <xf numFmtId="179" fontId="0" fillId="0" borderId="1" xfId="0" applyNumberFormat="1" applyBorder="1">
      <alignment vertical="center"/>
    </xf>
    <xf numFmtId="4" fontId="0" fillId="3" borderId="1" xfId="0" applyNumberFormat="1" applyFill="1" applyBorder="1" applyAlignment="1">
      <alignment horizontal="center" vertical="center"/>
    </xf>
    <xf numFmtId="4" fontId="0" fillId="3" borderId="2" xfId="0" applyNumberFormat="1" applyFill="1" applyBorder="1">
      <alignment vertical="center"/>
    </xf>
    <xf numFmtId="4" fontId="0" fillId="2" borderId="4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/>
    </xf>
    <xf numFmtId="4" fontId="0" fillId="2" borderId="3" xfId="0" applyNumberFormat="1" applyFill="1" applyBorder="1" applyAlignment="1">
      <alignment horizontal="center" vertical="center"/>
    </xf>
    <xf numFmtId="4" fontId="0" fillId="2" borderId="16" xfId="0" applyNumberFormat="1" applyFill="1" applyBorder="1" applyAlignment="1">
      <alignment horizontal="center" vertical="center"/>
    </xf>
    <xf numFmtId="4" fontId="0" fillId="2" borderId="5" xfId="0" applyNumberFormat="1" applyFill="1" applyBorder="1" applyAlignment="1">
      <alignment horizontal="center" vertical="center"/>
    </xf>
    <xf numFmtId="4" fontId="0" fillId="2" borderId="9" xfId="0" applyNumberFormat="1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 vertical="center"/>
    </xf>
    <xf numFmtId="4" fontId="3" fillId="2" borderId="9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2" borderId="7" xfId="0" applyNumberFormat="1" applyFill="1" applyBorder="1" applyAlignment="1">
      <alignment horizontal="center" vertical="center"/>
    </xf>
    <xf numFmtId="4" fontId="0" fillId="2" borderId="14" xfId="0" applyNumberFormat="1" applyFill="1" applyBorder="1" applyAlignment="1">
      <alignment horizontal="center" vertical="center"/>
    </xf>
    <xf numFmtId="4" fontId="3" fillId="2" borderId="12" xfId="0" applyNumberFormat="1" applyFont="1" applyFill="1" applyBorder="1" applyAlignment="1">
      <alignment horizontal="center" vertical="center"/>
    </xf>
    <xf numFmtId="4" fontId="3" fillId="2" borderId="13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4" fontId="4" fillId="2" borderId="17" xfId="0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4" borderId="0" xfId="0" applyFont="1" applyFill="1">
      <alignment vertical="center"/>
    </xf>
    <xf numFmtId="0" fontId="0" fillId="4" borderId="0" xfId="0" applyFill="1">
      <alignment vertical="center"/>
    </xf>
    <xf numFmtId="0" fontId="10" fillId="0" borderId="0" xfId="0" applyFont="1">
      <alignment vertical="center"/>
    </xf>
    <xf numFmtId="179" fontId="0" fillId="0" borderId="18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179" fontId="14" fillId="0" borderId="18" xfId="0" applyNumberFormat="1" applyFont="1" applyBorder="1" applyAlignment="1">
      <alignment horizontal="center" vertical="center"/>
    </xf>
    <xf numFmtId="4" fontId="14" fillId="0" borderId="18" xfId="0" applyNumberFormat="1" applyFont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179" fontId="14" fillId="0" borderId="21" xfId="0" applyNumberFormat="1" applyFont="1" applyBorder="1" applyAlignment="1">
      <alignment horizontal="center" vertical="center"/>
    </xf>
    <xf numFmtId="4" fontId="14" fillId="0" borderId="21" xfId="0" applyNumberFormat="1" applyFont="1" applyBorder="1" applyAlignment="1">
      <alignment horizontal="center" vertical="center"/>
    </xf>
    <xf numFmtId="0" fontId="10" fillId="5" borderId="22" xfId="0" applyFont="1" applyFill="1" applyBorder="1">
      <alignment vertical="center"/>
    </xf>
    <xf numFmtId="0" fontId="10" fillId="0" borderId="23" xfId="0" applyFont="1" applyBorder="1">
      <alignment vertical="center"/>
    </xf>
    <xf numFmtId="0" fontId="0" fillId="0" borderId="23" xfId="0" applyBorder="1">
      <alignment vertical="center"/>
    </xf>
    <xf numFmtId="0" fontId="15" fillId="0" borderId="23" xfId="0" applyFont="1" applyBorder="1">
      <alignment vertical="center"/>
    </xf>
    <xf numFmtId="0" fontId="15" fillId="0" borderId="24" xfId="0" applyFont="1" applyBorder="1">
      <alignment vertical="center"/>
    </xf>
    <xf numFmtId="0" fontId="10" fillId="5" borderId="25" xfId="0" applyFont="1" applyFill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3" fontId="14" fillId="0" borderId="26" xfId="0" applyNumberFormat="1" applyFont="1" applyBorder="1" applyAlignment="1">
      <alignment horizontal="center" vertical="center"/>
    </xf>
    <xf numFmtId="3" fontId="14" fillId="0" borderId="27" xfId="0" applyNumberFormat="1" applyFont="1" applyBorder="1" applyAlignment="1">
      <alignment horizontal="center" vertical="center"/>
    </xf>
    <xf numFmtId="180" fontId="0" fillId="0" borderId="18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181" fontId="0" fillId="0" borderId="18" xfId="0" applyNumberFormat="1" applyBorder="1" applyAlignment="1">
      <alignment horizontal="center" vertical="center"/>
    </xf>
    <xf numFmtId="182" fontId="0" fillId="0" borderId="18" xfId="0" applyNumberFormat="1" applyBorder="1" applyAlignment="1">
      <alignment horizontal="center" vertical="center"/>
    </xf>
    <xf numFmtId="183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84" fontId="0" fillId="0" borderId="18" xfId="0" applyNumberFormat="1" applyBorder="1" applyAlignment="1">
      <alignment horizontal="center" vertical="center"/>
    </xf>
    <xf numFmtId="185" fontId="0" fillId="0" borderId="18" xfId="0" applyNumberFormat="1" applyBorder="1" applyAlignment="1">
      <alignment horizontal="center" vertical="center"/>
    </xf>
    <xf numFmtId="186" fontId="0" fillId="0" borderId="18" xfId="0" applyNumberFormat="1" applyBorder="1" applyAlignment="1">
      <alignment horizontal="center" vertical="center"/>
    </xf>
    <xf numFmtId="187" fontId="0" fillId="0" borderId="21" xfId="0" applyNumberFormat="1" applyBorder="1" applyAlignment="1">
      <alignment horizontal="center" vertical="center"/>
    </xf>
    <xf numFmtId="0" fontId="0" fillId="0" borderId="24" xfId="0" applyBorder="1">
      <alignment vertical="center"/>
    </xf>
    <xf numFmtId="0" fontId="10" fillId="5" borderId="25" xfId="0" applyFont="1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184" fontId="10" fillId="0" borderId="18" xfId="0" applyNumberFormat="1" applyFont="1" applyBorder="1" applyAlignment="1">
      <alignment horizontal="center" vertical="center"/>
    </xf>
    <xf numFmtId="184" fontId="16" fillId="0" borderId="18" xfId="0" applyNumberFormat="1" applyFont="1" applyBorder="1" applyAlignment="1">
      <alignment horizontal="center" vertical="center"/>
    </xf>
    <xf numFmtId="0" fontId="0" fillId="0" borderId="18" xfId="0" applyBorder="1">
      <alignment vertical="center"/>
    </xf>
    <xf numFmtId="0" fontId="16" fillId="0" borderId="23" xfId="0" applyFont="1" applyBorder="1">
      <alignment vertical="center"/>
    </xf>
    <xf numFmtId="184" fontId="0" fillId="0" borderId="26" xfId="0" applyNumberFormat="1" applyBorder="1" applyAlignment="1">
      <alignment horizontal="center" vertical="center"/>
    </xf>
    <xf numFmtId="184" fontId="10" fillId="0" borderId="26" xfId="0" applyNumberFormat="1" applyFont="1" applyBorder="1" applyAlignment="1">
      <alignment horizontal="center" vertical="center"/>
    </xf>
    <xf numFmtId="184" fontId="16" fillId="0" borderId="26" xfId="0" applyNumberFormat="1" applyFont="1" applyBorder="1" applyAlignment="1">
      <alignment horizontal="center" vertical="center"/>
    </xf>
    <xf numFmtId="188" fontId="0" fillId="0" borderId="26" xfId="0" applyNumberFormat="1" applyBorder="1" applyAlignment="1">
      <alignment horizontal="center" vertical="center"/>
    </xf>
    <xf numFmtId="0" fontId="10" fillId="0" borderId="24" xfId="0" applyFont="1" applyBorder="1">
      <alignment vertical="center"/>
    </xf>
    <xf numFmtId="188" fontId="17" fillId="0" borderId="26" xfId="0" applyNumberFormat="1" applyFont="1" applyBorder="1" applyAlignment="1">
      <alignment horizontal="center" vertical="center"/>
    </xf>
    <xf numFmtId="188" fontId="18" fillId="7" borderId="27" xfId="0" applyNumberFormat="1" applyFont="1" applyFill="1" applyBorder="1" applyAlignment="1">
      <alignment horizontal="center" vertical="center"/>
    </xf>
    <xf numFmtId="190" fontId="0" fillId="0" borderId="26" xfId="0" applyNumberFormat="1" applyBorder="1" applyAlignment="1">
      <alignment horizontal="center" vertical="center"/>
    </xf>
    <xf numFmtId="184" fontId="0" fillId="0" borderId="19" xfId="0" applyNumberFormat="1" applyBorder="1" applyAlignment="1">
      <alignment horizontal="center" vertical="center"/>
    </xf>
    <xf numFmtId="184" fontId="0" fillId="0" borderId="21" xfId="0" applyNumberFormat="1" applyBorder="1" applyAlignment="1">
      <alignment horizontal="center" vertical="center"/>
    </xf>
    <xf numFmtId="190" fontId="0" fillId="0" borderId="27" xfId="0" applyNumberFormat="1" applyBorder="1" applyAlignment="1">
      <alignment horizontal="center" vertical="center"/>
    </xf>
    <xf numFmtId="188" fontId="10" fillId="7" borderId="18" xfId="0" applyNumberFormat="1" applyFont="1" applyFill="1" applyBorder="1" applyAlignment="1">
      <alignment horizontal="center" vertical="center"/>
    </xf>
    <xf numFmtId="188" fontId="0" fillId="0" borderId="18" xfId="0" applyNumberFormat="1" applyBorder="1" applyAlignment="1">
      <alignment horizontal="center" vertical="center"/>
    </xf>
    <xf numFmtId="188" fontId="0" fillId="0" borderId="21" xfId="0" applyNumberFormat="1" applyBorder="1" applyAlignment="1">
      <alignment horizontal="center" vertical="center"/>
    </xf>
    <xf numFmtId="0" fontId="10" fillId="7" borderId="23" xfId="0" applyFont="1" applyFill="1" applyBorder="1">
      <alignment vertical="center"/>
    </xf>
    <xf numFmtId="10" fontId="0" fillId="0" borderId="23" xfId="0" applyNumberFormat="1" applyBorder="1">
      <alignment vertical="center"/>
    </xf>
    <xf numFmtId="9" fontId="0" fillId="0" borderId="24" xfId="0" applyNumberFormat="1" applyBorder="1">
      <alignment vertical="center"/>
    </xf>
    <xf numFmtId="188" fontId="0" fillId="0" borderId="27" xfId="0" applyNumberFormat="1" applyBorder="1" applyAlignment="1">
      <alignment horizontal="center" vertical="center"/>
    </xf>
    <xf numFmtId="0" fontId="0" fillId="0" borderId="28" xfId="0" applyBorder="1">
      <alignment vertical="center"/>
    </xf>
    <xf numFmtId="184" fontId="0" fillId="0" borderId="29" xfId="0" applyNumberFormat="1" applyBorder="1" applyAlignment="1">
      <alignment horizontal="center" vertical="center"/>
    </xf>
    <xf numFmtId="0" fontId="10" fillId="6" borderId="30" xfId="0" applyFont="1" applyFill="1" applyBorder="1">
      <alignment vertical="center"/>
    </xf>
    <xf numFmtId="184" fontId="10" fillId="6" borderId="31" xfId="0" applyNumberFormat="1" applyFont="1" applyFill="1" applyBorder="1" applyAlignment="1">
      <alignment horizontal="center" vertical="center"/>
    </xf>
    <xf numFmtId="184" fontId="10" fillId="6" borderId="32" xfId="0" applyNumberFormat="1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9" xfId="0" applyBorder="1">
      <alignment vertical="center"/>
    </xf>
    <xf numFmtId="188" fontId="0" fillId="0" borderId="29" xfId="0" applyNumberFormat="1" applyBorder="1" applyAlignment="1">
      <alignment horizontal="center" vertical="center"/>
    </xf>
    <xf numFmtId="0" fontId="0" fillId="0" borderId="32" xfId="0" applyBorder="1">
      <alignment vertical="center"/>
    </xf>
    <xf numFmtId="0" fontId="10" fillId="0" borderId="33" xfId="0" applyFont="1" applyBorder="1">
      <alignment vertical="center"/>
    </xf>
    <xf numFmtId="184" fontId="10" fillId="0" borderId="34" xfId="0" applyNumberFormat="1" applyFont="1" applyBorder="1" applyAlignment="1">
      <alignment horizontal="center" vertical="center"/>
    </xf>
    <xf numFmtId="184" fontId="10" fillId="0" borderId="35" xfId="0" applyNumberFormat="1" applyFont="1" applyBorder="1" applyAlignment="1">
      <alignment horizontal="center" vertical="center"/>
    </xf>
    <xf numFmtId="0" fontId="10" fillId="0" borderId="36" xfId="0" applyFont="1" applyBorder="1">
      <alignment vertical="center"/>
    </xf>
    <xf numFmtId="184" fontId="10" fillId="0" borderId="37" xfId="0" applyNumberFormat="1" applyFont="1" applyBorder="1" applyAlignment="1">
      <alignment horizontal="center" vertical="center"/>
    </xf>
    <xf numFmtId="184" fontId="10" fillId="0" borderId="38" xfId="0" applyNumberFormat="1" applyFont="1" applyBorder="1" applyAlignment="1">
      <alignment horizontal="center" vertical="center"/>
    </xf>
    <xf numFmtId="0" fontId="10" fillId="0" borderId="30" xfId="0" applyFont="1" applyBorder="1">
      <alignment vertical="center"/>
    </xf>
    <xf numFmtId="189" fontId="10" fillId="0" borderId="31" xfId="0" applyNumberFormat="1" applyFont="1" applyBorder="1" applyAlignment="1">
      <alignment horizontal="center" vertical="center"/>
    </xf>
    <xf numFmtId="189" fontId="10" fillId="0" borderId="32" xfId="0" applyNumberFormat="1" applyFont="1" applyBorder="1" applyAlignment="1">
      <alignment horizontal="center" vertical="center"/>
    </xf>
    <xf numFmtId="190" fontId="0" fillId="0" borderId="29" xfId="0" applyNumberFormat="1" applyBorder="1" applyAlignment="1">
      <alignment horizontal="center" vertical="center"/>
    </xf>
    <xf numFmtId="190" fontId="10" fillId="6" borderId="3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008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(대학원생) 이예찬 (에너지화학공학과)" id="{FB7F8AA8-97A7-4ECE-9361-1F7459004592}" userId="S::lyc5364@unist.ac.kr::5fbab51d-615a-42d5-8bf5-340484b67ef3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92" dT="2025-05-28T12:43:40.74" personId="{FB7F8AA8-97A7-4ECE-9361-1F7459004592}" id="{43CD916D-131D-4557-927C-D65054DDF2C8}">
    <text>Benzyl alcohol(15% weight per volume) 사용(180도, 30분)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765E29-4E8F-4F58-9472-B48294557BDA}">
  <we:reference id="wa200009404" version="1.0.0.8" store="ko-KR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E42C-CD9B-4F1C-AEFC-3F52B362BB12}">
  <dimension ref="C3:AG117"/>
  <sheetViews>
    <sheetView zoomScale="70" zoomScaleNormal="70" workbookViewId="0">
      <selection activeCell="G25" sqref="G25"/>
    </sheetView>
  </sheetViews>
  <sheetFormatPr defaultRowHeight="16.5" x14ac:dyDescent="0.3"/>
  <cols>
    <col min="1" max="3" width="9" style="2"/>
    <col min="4" max="4" width="42.75" style="2" bestFit="1" customWidth="1"/>
    <col min="5" max="5" width="28.25" style="2" bestFit="1" customWidth="1"/>
    <col min="6" max="6" width="36" style="2" bestFit="1" customWidth="1"/>
    <col min="7" max="7" width="26.25" style="2" bestFit="1" customWidth="1"/>
    <col min="8" max="8" width="27.375" style="2" bestFit="1" customWidth="1"/>
    <col min="9" max="10" width="9" style="2"/>
    <col min="11" max="11" width="44" style="2" bestFit="1" customWidth="1"/>
    <col min="12" max="12" width="14.25" style="2" bestFit="1" customWidth="1"/>
    <col min="13" max="13" width="48.125" style="2" bestFit="1" customWidth="1"/>
    <col min="14" max="14" width="26.875" style="2" bestFit="1" customWidth="1"/>
    <col min="15" max="15" width="23.625" style="2" bestFit="1" customWidth="1"/>
    <col min="16" max="17" width="9" style="2"/>
    <col min="18" max="18" width="43.125" style="2" bestFit="1" customWidth="1"/>
    <col min="19" max="19" width="18.625" style="2" bestFit="1" customWidth="1"/>
    <col min="20" max="20" width="16.5" style="2" bestFit="1" customWidth="1"/>
    <col min="21" max="21" width="29.25" style="2" bestFit="1" customWidth="1"/>
    <col min="22" max="22" width="31.25" style="2" bestFit="1" customWidth="1"/>
    <col min="23" max="23" width="24.75" style="2" bestFit="1" customWidth="1"/>
    <col min="24" max="24" width="27.875" style="2" bestFit="1" customWidth="1"/>
    <col min="25" max="25" width="55" style="2" bestFit="1" customWidth="1"/>
    <col min="26" max="27" width="34" style="2" bestFit="1" customWidth="1"/>
    <col min="28" max="28" width="35.375" style="2" bestFit="1" customWidth="1"/>
    <col min="29" max="29" width="34" style="2" bestFit="1" customWidth="1"/>
    <col min="30" max="30" width="30.375" style="2" bestFit="1" customWidth="1"/>
    <col min="31" max="31" width="22.125" style="2" bestFit="1" customWidth="1"/>
    <col min="32" max="32" width="47.625" style="2" bestFit="1" customWidth="1"/>
    <col min="33" max="33" width="23.5" style="2" bestFit="1" customWidth="1"/>
    <col min="34" max="34" width="19.25" style="2" customWidth="1"/>
    <col min="35" max="35" width="46" style="2" bestFit="1" customWidth="1"/>
    <col min="36" max="36" width="20.5" style="2" bestFit="1" customWidth="1"/>
    <col min="37" max="16384" width="9" style="2"/>
  </cols>
  <sheetData>
    <row r="3" spans="4:28" x14ac:dyDescent="0.3">
      <c r="D3" s="1" t="s">
        <v>2</v>
      </c>
      <c r="E3" s="1" t="s">
        <v>21</v>
      </c>
      <c r="F3" s="40" t="s">
        <v>164</v>
      </c>
      <c r="I3" s="8"/>
      <c r="J3" s="8"/>
      <c r="K3" s="47" t="s">
        <v>24</v>
      </c>
      <c r="L3" s="47"/>
      <c r="M3" s="62" t="s">
        <v>99</v>
      </c>
      <c r="N3" s="63"/>
      <c r="P3" s="8"/>
      <c r="Q3" s="8"/>
      <c r="R3" s="8"/>
      <c r="S3" s="8"/>
    </row>
    <row r="4" spans="4:28" x14ac:dyDescent="0.3">
      <c r="D4" s="1" t="s">
        <v>6</v>
      </c>
      <c r="E4" s="3">
        <v>1825.25</v>
      </c>
      <c r="F4" s="3" t="s">
        <v>17</v>
      </c>
      <c r="I4" s="8"/>
      <c r="J4" s="8"/>
      <c r="K4" s="8"/>
      <c r="L4" s="8"/>
      <c r="M4" s="8"/>
      <c r="N4" s="8"/>
      <c r="P4" s="8"/>
      <c r="Q4" s="8"/>
      <c r="R4" s="8"/>
      <c r="S4" s="8"/>
    </row>
    <row r="5" spans="4:28" x14ac:dyDescent="0.3">
      <c r="D5" s="1" t="s">
        <v>4</v>
      </c>
      <c r="E5" s="3">
        <v>98.08</v>
      </c>
      <c r="F5" s="3">
        <v>337</v>
      </c>
      <c r="I5" s="8"/>
      <c r="J5" s="8"/>
      <c r="K5" s="8"/>
      <c r="L5" s="8"/>
      <c r="M5" s="8"/>
      <c r="N5" s="8"/>
      <c r="P5" s="8"/>
      <c r="Q5" s="8"/>
      <c r="R5" s="8"/>
      <c r="S5" s="8"/>
    </row>
    <row r="6" spans="4:28" x14ac:dyDescent="0.3">
      <c r="D6" s="1" t="s">
        <v>7</v>
      </c>
      <c r="E6" s="3">
        <v>78.13</v>
      </c>
      <c r="F6" s="3">
        <v>189</v>
      </c>
      <c r="N6" s="1" t="s">
        <v>134</v>
      </c>
      <c r="O6" s="3">
        <v>2</v>
      </c>
      <c r="S6" s="8"/>
      <c r="U6" s="19" t="s">
        <v>60</v>
      </c>
      <c r="V6" s="3">
        <v>0.6</v>
      </c>
      <c r="Z6" s="8"/>
      <c r="AA6" s="19" t="s">
        <v>60</v>
      </c>
      <c r="AB6" s="3">
        <v>0.6</v>
      </c>
    </row>
    <row r="7" spans="4:28" x14ac:dyDescent="0.3">
      <c r="D7" s="1" t="s">
        <v>5</v>
      </c>
      <c r="E7" s="36">
        <v>18.015999999999998</v>
      </c>
      <c r="F7" s="3">
        <v>100</v>
      </c>
      <c r="L7" s="1" t="s">
        <v>18</v>
      </c>
      <c r="M7" s="1" t="s">
        <v>20</v>
      </c>
      <c r="N7" s="1" t="s">
        <v>100</v>
      </c>
      <c r="O7" s="1" t="s">
        <v>32</v>
      </c>
      <c r="R7" s="56" t="s">
        <v>145</v>
      </c>
      <c r="S7" s="8"/>
      <c r="U7" s="19" t="s">
        <v>59</v>
      </c>
      <c r="V7" s="3">
        <v>541.70000000000005</v>
      </c>
      <c r="Y7" s="56" t="s">
        <v>145</v>
      </c>
      <c r="Z7" s="8"/>
      <c r="AA7" s="19" t="s">
        <v>59</v>
      </c>
      <c r="AB7" s="3">
        <v>541.70000000000005</v>
      </c>
    </row>
    <row r="8" spans="4:28" x14ac:dyDescent="0.3">
      <c r="D8" s="1" t="s">
        <v>9</v>
      </c>
      <c r="E8" s="3">
        <v>166.13</v>
      </c>
      <c r="F8" s="3" t="s">
        <v>17</v>
      </c>
      <c r="K8" s="47" t="s">
        <v>8</v>
      </c>
      <c r="L8" s="1" t="s">
        <v>19</v>
      </c>
      <c r="M8" s="3">
        <f>M19</f>
        <v>0.1</v>
      </c>
      <c r="N8" s="3">
        <v>1000</v>
      </c>
      <c r="O8" s="10">
        <f>N8*(24/$O$6)*365*$L$59</f>
        <v>3504000</v>
      </c>
      <c r="R8" s="57"/>
      <c r="S8" s="8"/>
      <c r="U8" s="19" t="s">
        <v>58</v>
      </c>
      <c r="V8" s="3">
        <v>800.8</v>
      </c>
      <c r="Y8" s="57"/>
      <c r="Z8" s="8"/>
      <c r="AA8" s="19" t="s">
        <v>58</v>
      </c>
      <c r="AB8" s="3">
        <v>800.8</v>
      </c>
    </row>
    <row r="9" spans="4:28" x14ac:dyDescent="0.3">
      <c r="D9" s="1" t="s">
        <v>10</v>
      </c>
      <c r="E9" s="3">
        <v>46.03</v>
      </c>
      <c r="F9" s="3">
        <v>100.8</v>
      </c>
      <c r="K9" s="47"/>
      <c r="L9" s="1" t="s">
        <v>6</v>
      </c>
      <c r="M9" s="3">
        <f>0.5/1000*10*E4</f>
        <v>9.1262500000000006</v>
      </c>
      <c r="N9" s="3">
        <f t="shared" ref="N9:N15" si="0">M9*($N$8/$M$8)</f>
        <v>91262.5</v>
      </c>
      <c r="O9" s="15">
        <f>N9</f>
        <v>91262.5</v>
      </c>
      <c r="R9" s="54" t="s">
        <v>31</v>
      </c>
      <c r="S9" s="54" t="s">
        <v>33</v>
      </c>
      <c r="T9" s="54" t="s">
        <v>79</v>
      </c>
      <c r="U9" s="54"/>
      <c r="V9" s="19" t="s">
        <v>80</v>
      </c>
      <c r="Y9" s="54" t="s">
        <v>31</v>
      </c>
      <c r="Z9" s="19" t="s">
        <v>80</v>
      </c>
      <c r="AA9" s="19" t="s">
        <v>103</v>
      </c>
      <c r="AB9" s="19" t="s">
        <v>104</v>
      </c>
    </row>
    <row r="10" spans="4:28" x14ac:dyDescent="0.3">
      <c r="D10" s="1" t="s">
        <v>11</v>
      </c>
      <c r="E10" s="36">
        <v>2.016</v>
      </c>
      <c r="F10" s="3">
        <v>-252.9</v>
      </c>
      <c r="K10" s="47"/>
      <c r="L10" s="1" t="s">
        <v>4</v>
      </c>
      <c r="M10" s="3">
        <f>5/1000*E5</f>
        <v>0.4904</v>
      </c>
      <c r="N10" s="3">
        <f t="shared" si="0"/>
        <v>4904</v>
      </c>
      <c r="O10" s="15">
        <f>N10</f>
        <v>4904</v>
      </c>
      <c r="R10" s="54"/>
      <c r="S10" s="54"/>
      <c r="T10" s="19" t="s">
        <v>57</v>
      </c>
      <c r="U10" s="19" t="s">
        <v>56</v>
      </c>
      <c r="V10" s="19" t="s">
        <v>56</v>
      </c>
      <c r="Y10" s="61"/>
      <c r="Z10" s="24" t="s">
        <v>56</v>
      </c>
      <c r="AA10" s="24" t="s">
        <v>56</v>
      </c>
      <c r="AB10" s="24" t="s">
        <v>56</v>
      </c>
    </row>
    <row r="11" spans="4:28" x14ac:dyDescent="0.3">
      <c r="K11" s="47"/>
      <c r="L11" s="1" t="s">
        <v>7</v>
      </c>
      <c r="M11" s="3">
        <f>5*E15</f>
        <v>5.5</v>
      </c>
      <c r="N11" s="3">
        <f t="shared" si="0"/>
        <v>55000</v>
      </c>
      <c r="O11" s="15">
        <f>N11+N11*(100-L63)*(24/O6)*365*L59</f>
        <v>247720.00000092023</v>
      </c>
      <c r="R11" s="58" t="s">
        <v>34</v>
      </c>
      <c r="S11" s="59"/>
      <c r="T11" s="59"/>
      <c r="U11" s="59"/>
      <c r="V11" s="60"/>
      <c r="Y11" s="58" t="s">
        <v>34</v>
      </c>
      <c r="Z11" s="59"/>
      <c r="AA11" s="59"/>
      <c r="AB11" s="60"/>
    </row>
    <row r="12" spans="4:28" ht="17.25" thickBot="1" x14ac:dyDescent="0.35">
      <c r="K12" s="64"/>
      <c r="L12" s="4" t="s">
        <v>5</v>
      </c>
      <c r="M12" s="5">
        <f>5*E14-M10</f>
        <v>4.8096000000000005</v>
      </c>
      <c r="N12" s="5">
        <f t="shared" si="0"/>
        <v>48096.000000000007</v>
      </c>
      <c r="O12" s="12">
        <f>N12*(24/$O$6)*365*$L$59</f>
        <v>168528384.00000003</v>
      </c>
      <c r="R12" s="20" t="s">
        <v>35</v>
      </c>
      <c r="S12" s="3">
        <v>1.7</v>
      </c>
      <c r="T12" s="10">
        <v>3933582</v>
      </c>
      <c r="U12" s="10">
        <f>S12*T12</f>
        <v>6687089.3999999994</v>
      </c>
      <c r="V12" s="10">
        <f t="shared" ref="V12:V18" si="1">U12*(1/6.25)^($V$6)*($V$8/$V$7)</f>
        <v>3292110.074731383</v>
      </c>
      <c r="Y12" s="20" t="s">
        <v>35</v>
      </c>
      <c r="Z12" s="10">
        <f t="shared" ref="Z12:Z19" si="2">V12</f>
        <v>3292110.074731383</v>
      </c>
      <c r="AA12" s="10">
        <f t="shared" ref="AA12:AA19" si="3">Z12*(5/1)^$AB$6</f>
        <v>8646818.6464397404</v>
      </c>
      <c r="AB12" s="10">
        <f t="shared" ref="AB12:AB19" si="4">Z12*(10/1)^$AB$6</f>
        <v>13106126.270019734</v>
      </c>
    </row>
    <row r="13" spans="4:28" ht="17.25" thickTop="1" x14ac:dyDescent="0.3">
      <c r="D13" s="51" t="s">
        <v>23</v>
      </c>
      <c r="E13" s="53"/>
      <c r="K13" s="65" t="s">
        <v>12</v>
      </c>
      <c r="L13" s="6" t="s">
        <v>9</v>
      </c>
      <c r="M13" s="7">
        <f>$M$8*N20</f>
        <v>8.6387599999999995E-2</v>
      </c>
      <c r="N13" s="7">
        <f t="shared" si="0"/>
        <v>863.87599999999998</v>
      </c>
      <c r="O13" s="11">
        <f>N13*(24/$O$6)*365*$L$59</f>
        <v>3027021.5039999997</v>
      </c>
      <c r="R13" s="20" t="s">
        <v>36</v>
      </c>
      <c r="S13" s="3">
        <v>1.7</v>
      </c>
      <c r="T13" s="10">
        <v>224887</v>
      </c>
      <c r="U13" s="10">
        <f t="shared" ref="U13:U18" si="5">S13*T13</f>
        <v>382307.89999999997</v>
      </c>
      <c r="V13" s="10">
        <f t="shared" si="1"/>
        <v>188213.3786396512</v>
      </c>
      <c r="Y13" s="20" t="s">
        <v>36</v>
      </c>
      <c r="Z13" s="10">
        <f t="shared" si="2"/>
        <v>188213.3786396512</v>
      </c>
      <c r="AA13" s="10">
        <f t="shared" si="3"/>
        <v>494347.67215781793</v>
      </c>
      <c r="AB13" s="10">
        <f t="shared" si="4"/>
        <v>749290.95630545577</v>
      </c>
    </row>
    <row r="14" spans="4:28" x14ac:dyDescent="0.3">
      <c r="D14" s="1" t="s">
        <v>22</v>
      </c>
      <c r="E14" s="3">
        <v>1.06</v>
      </c>
      <c r="K14" s="49"/>
      <c r="L14" s="1" t="s">
        <v>10</v>
      </c>
      <c r="M14" s="7">
        <f>$M$8*N21</f>
        <v>4.0506400000000005E-2</v>
      </c>
      <c r="N14" s="3">
        <f t="shared" si="0"/>
        <v>405.06400000000002</v>
      </c>
      <c r="O14" s="10">
        <f>N14*(24/$O$6)*365*$L$59</f>
        <v>1419344.2560000001</v>
      </c>
      <c r="R14" s="20" t="s">
        <v>37</v>
      </c>
      <c r="S14" s="3">
        <v>1.7</v>
      </c>
      <c r="T14" s="10">
        <v>56872</v>
      </c>
      <c r="U14" s="10">
        <f t="shared" si="5"/>
        <v>96682.4</v>
      </c>
      <c r="V14" s="10">
        <f t="shared" si="1"/>
        <v>47597.554638526206</v>
      </c>
      <c r="Y14" s="20" t="s">
        <v>37</v>
      </c>
      <c r="Z14" s="10">
        <f t="shared" si="2"/>
        <v>47597.554638526206</v>
      </c>
      <c r="AA14" s="10">
        <f t="shared" si="3"/>
        <v>125016.30067971657</v>
      </c>
      <c r="AB14" s="10">
        <f t="shared" si="4"/>
        <v>189489.27802409156</v>
      </c>
    </row>
    <row r="15" spans="4:28" x14ac:dyDescent="0.3">
      <c r="D15" s="1" t="s">
        <v>7</v>
      </c>
      <c r="E15" s="3">
        <v>1.1000000000000001</v>
      </c>
      <c r="K15" s="46"/>
      <c r="L15" s="1" t="s">
        <v>11</v>
      </c>
      <c r="M15" s="7">
        <f>$M$8*N22</f>
        <v>5.3222399999999998E-3</v>
      </c>
      <c r="N15" s="3">
        <f t="shared" si="0"/>
        <v>53.2224</v>
      </c>
      <c r="O15" s="10">
        <f>N15*(24/$O$6)*365*$L$59</f>
        <v>186491.28960000002</v>
      </c>
      <c r="R15" s="20" t="s">
        <v>38</v>
      </c>
      <c r="S15" s="3">
        <v>1.7</v>
      </c>
      <c r="T15" s="10">
        <v>711158</v>
      </c>
      <c r="U15" s="10">
        <f t="shared" si="5"/>
        <v>1208968.5999999999</v>
      </c>
      <c r="V15" s="10">
        <f t="shared" si="1"/>
        <v>595185.35943214619</v>
      </c>
      <c r="Y15" s="20" t="s">
        <v>38</v>
      </c>
      <c r="Z15" s="10">
        <f t="shared" si="2"/>
        <v>595185.35943214619</v>
      </c>
      <c r="AA15" s="10">
        <f t="shared" si="3"/>
        <v>1563270.8953225818</v>
      </c>
      <c r="AB15" s="10">
        <f t="shared" si="4"/>
        <v>2369475.5939839799</v>
      </c>
    </row>
    <row r="16" spans="4:28" x14ac:dyDescent="0.3">
      <c r="R16" s="20" t="s">
        <v>39</v>
      </c>
      <c r="S16" s="3">
        <v>1.7</v>
      </c>
      <c r="T16" s="10">
        <v>210000</v>
      </c>
      <c r="U16" s="10">
        <f t="shared" si="5"/>
        <v>357000</v>
      </c>
      <c r="V16" s="10">
        <f t="shared" si="1"/>
        <v>175754.08767214982</v>
      </c>
      <c r="Y16" s="20" t="s">
        <v>39</v>
      </c>
      <c r="Z16" s="10">
        <f t="shared" si="2"/>
        <v>175754.08767214982</v>
      </c>
      <c r="AA16" s="10">
        <f t="shared" si="3"/>
        <v>461622.99800851883</v>
      </c>
      <c r="AB16" s="10">
        <f t="shared" si="4"/>
        <v>699689.6255637086</v>
      </c>
    </row>
    <row r="17" spans="3:28" ht="16.5" customHeight="1" x14ac:dyDescent="0.3">
      <c r="R17" s="21" t="s">
        <v>40</v>
      </c>
      <c r="S17" s="3">
        <v>1.7</v>
      </c>
      <c r="T17" s="10">
        <v>2409639</v>
      </c>
      <c r="U17" s="10">
        <f t="shared" si="5"/>
        <v>4096386.3</v>
      </c>
      <c r="V17" s="10">
        <f t="shared" si="1"/>
        <v>2016685.257448721</v>
      </c>
      <c r="W17" s="8"/>
      <c r="Y17" s="21" t="s">
        <v>40</v>
      </c>
      <c r="Z17" s="10">
        <f t="shared" si="2"/>
        <v>2016685.257448721</v>
      </c>
      <c r="AA17" s="10">
        <f t="shared" si="3"/>
        <v>5296879.9014202347</v>
      </c>
      <c r="AB17" s="10">
        <f t="shared" si="4"/>
        <v>8028568.617398615</v>
      </c>
    </row>
    <row r="18" spans="3:28" ht="16.5" customHeight="1" x14ac:dyDescent="0.3">
      <c r="D18" s="1" t="s">
        <v>2</v>
      </c>
      <c r="E18" s="1" t="s">
        <v>165</v>
      </c>
      <c r="F18" s="41" t="s">
        <v>166</v>
      </c>
      <c r="K18" s="9" t="s">
        <v>144</v>
      </c>
      <c r="L18" s="1" t="s">
        <v>93</v>
      </c>
      <c r="M18" s="1" t="s">
        <v>70</v>
      </c>
      <c r="N18" s="1" t="s">
        <v>68</v>
      </c>
      <c r="R18" s="20" t="s">
        <v>41</v>
      </c>
      <c r="S18" s="3">
        <v>1.7</v>
      </c>
      <c r="T18" s="10">
        <v>674295</v>
      </c>
      <c r="U18" s="10">
        <f t="shared" si="5"/>
        <v>1146301.5</v>
      </c>
      <c r="V18" s="10">
        <f t="shared" si="1"/>
        <v>564333.82165186794</v>
      </c>
      <c r="W18" s="8"/>
      <c r="Y18" s="20" t="s">
        <v>41</v>
      </c>
      <c r="Z18" s="10">
        <f t="shared" si="2"/>
        <v>564333.82165186794</v>
      </c>
      <c r="AA18" s="10">
        <f t="shared" si="3"/>
        <v>1482238.4735340676</v>
      </c>
      <c r="AB18" s="10">
        <f t="shared" si="4"/>
        <v>2246653.409854671</v>
      </c>
    </row>
    <row r="19" spans="3:28" x14ac:dyDescent="0.3">
      <c r="D19" s="1" t="s">
        <v>4</v>
      </c>
      <c r="E19" s="44">
        <v>1.34</v>
      </c>
      <c r="F19" s="45">
        <v>570.96</v>
      </c>
      <c r="K19" s="1" t="s">
        <v>69</v>
      </c>
      <c r="L19" s="32" t="s">
        <v>17</v>
      </c>
      <c r="M19" s="32">
        <v>0.1</v>
      </c>
      <c r="N19" s="32" t="s">
        <v>17</v>
      </c>
      <c r="R19" s="58" t="s">
        <v>50</v>
      </c>
      <c r="S19" s="60"/>
      <c r="T19" s="13">
        <f>SUM(T12:T18)</f>
        <v>8220433</v>
      </c>
      <c r="U19" s="13">
        <f>SUM(U12:U18)</f>
        <v>13974736.100000001</v>
      </c>
      <c r="V19" s="13">
        <f>SUM(V12:V18)</f>
        <v>6879879.5342144445</v>
      </c>
      <c r="W19" s="8"/>
      <c r="Y19" s="19" t="s">
        <v>50</v>
      </c>
      <c r="Z19" s="13">
        <f t="shared" si="2"/>
        <v>6879879.5342144445</v>
      </c>
      <c r="AA19" s="13">
        <f t="shared" si="3"/>
        <v>18070194.887562677</v>
      </c>
      <c r="AB19" s="13">
        <f t="shared" si="4"/>
        <v>27389293.75115025</v>
      </c>
    </row>
    <row r="20" spans="3:28" x14ac:dyDescent="0.3">
      <c r="D20" s="1" t="s">
        <v>7</v>
      </c>
      <c r="E20" s="44">
        <v>1.91</v>
      </c>
      <c r="F20" s="45">
        <v>677.08</v>
      </c>
      <c r="K20" s="1" t="s">
        <v>71</v>
      </c>
      <c r="L20" s="32">
        <f>0.00052</f>
        <v>5.1999999999999995E-4</v>
      </c>
      <c r="M20" s="32">
        <f>L20*E8</f>
        <v>8.6387599999999995E-2</v>
      </c>
      <c r="N20" s="32">
        <f>M20/$M$19</f>
        <v>0.86387599999999987</v>
      </c>
      <c r="R20" s="58" t="s">
        <v>42</v>
      </c>
      <c r="S20" s="59"/>
      <c r="T20" s="59"/>
      <c r="U20" s="59"/>
      <c r="V20" s="60"/>
      <c r="Y20" s="54" t="s">
        <v>42</v>
      </c>
      <c r="Z20" s="54"/>
      <c r="AA20" s="54"/>
      <c r="AB20" s="54"/>
    </row>
    <row r="21" spans="3:28" ht="17.25" customHeight="1" x14ac:dyDescent="0.3">
      <c r="D21" s="1" t="s">
        <v>5</v>
      </c>
      <c r="E21" s="44">
        <v>4.18</v>
      </c>
      <c r="F21" s="45">
        <v>2256.4499999999998</v>
      </c>
      <c r="K21" s="1" t="s">
        <v>72</v>
      </c>
      <c r="L21" s="32">
        <v>8.8000000000000003E-4</v>
      </c>
      <c r="M21" s="32">
        <f>L21*E9</f>
        <v>4.0506400000000005E-2</v>
      </c>
      <c r="N21" s="32">
        <f>M21/$M$19</f>
        <v>0.40506400000000004</v>
      </c>
      <c r="R21" s="20" t="s">
        <v>43</v>
      </c>
      <c r="S21" s="3">
        <v>1</v>
      </c>
      <c r="T21" s="10">
        <v>820543</v>
      </c>
      <c r="U21" s="10">
        <f>S21*T21</f>
        <v>820543</v>
      </c>
      <c r="V21" s="10">
        <f t="shared" ref="V21:V27" si="6">U21*(1/6.25)^($V$6)*($V$8/$V$7)</f>
        <v>403960.18588450656</v>
      </c>
      <c r="Y21" s="20" t="s">
        <v>43</v>
      </c>
      <c r="Z21" s="10">
        <f t="shared" ref="Z21:Z28" si="7">V21</f>
        <v>403960.18588450656</v>
      </c>
      <c r="AA21" s="10">
        <f t="shared" ref="AA21:AA28" si="8">Z21*(5/1)^$AB$6</f>
        <v>1061012.6600977706</v>
      </c>
      <c r="AB21" s="10">
        <f t="shared" ref="AB21:AB28" si="9">Z21*(10/1)^$AB$6</f>
        <v>1608194.4661874571</v>
      </c>
    </row>
    <row r="22" spans="3:28" ht="17.25" customHeight="1" x14ac:dyDescent="0.3">
      <c r="D22" s="1" t="s">
        <v>10</v>
      </c>
      <c r="E22" s="44">
        <v>2.15</v>
      </c>
      <c r="F22" s="42">
        <v>1005.9</v>
      </c>
      <c r="K22" s="1" t="s">
        <v>135</v>
      </c>
      <c r="L22" s="32">
        <f>3*L21</f>
        <v>2.64E-3</v>
      </c>
      <c r="M22" s="32">
        <f>L22*E10</f>
        <v>5.3222399999999998E-3</v>
      </c>
      <c r="N22" s="32">
        <f>M22/$M$19</f>
        <v>5.3222399999999996E-2</v>
      </c>
      <c r="R22" s="20" t="s">
        <v>48</v>
      </c>
      <c r="S22" s="44">
        <v>1.97</v>
      </c>
      <c r="T22" s="42">
        <v>294648</v>
      </c>
      <c r="U22" s="42">
        <f t="shared" ref="U22:U27" si="10">S22*T22</f>
        <v>580456.55999999994</v>
      </c>
      <c r="V22" s="42">
        <f t="shared" si="6"/>
        <v>285763.62223001255</v>
      </c>
      <c r="Y22" s="20" t="s">
        <v>48</v>
      </c>
      <c r="Z22" s="10">
        <f t="shared" si="7"/>
        <v>285763.62223001255</v>
      </c>
      <c r="AA22" s="10">
        <f t="shared" si="8"/>
        <v>750566.09927426232</v>
      </c>
      <c r="AB22" s="10">
        <f t="shared" si="9"/>
        <v>1137645.4709310876</v>
      </c>
    </row>
    <row r="23" spans="3:28" x14ac:dyDescent="0.3">
      <c r="R23" s="20" t="s">
        <v>44</v>
      </c>
      <c r="S23" s="3">
        <v>2.2999999999999998</v>
      </c>
      <c r="T23" s="10">
        <v>6417</v>
      </c>
      <c r="U23" s="10">
        <f t="shared" si="10"/>
        <v>14759.099999999999</v>
      </c>
      <c r="V23" s="10">
        <f t="shared" si="6"/>
        <v>7266.0284463922308</v>
      </c>
      <c r="Y23" s="20" t="s">
        <v>44</v>
      </c>
      <c r="Z23" s="10">
        <f t="shared" si="7"/>
        <v>7266.0284463922308</v>
      </c>
      <c r="AA23" s="10">
        <f t="shared" si="8"/>
        <v>19084.4257420379</v>
      </c>
      <c r="AB23" s="10">
        <f t="shared" si="9"/>
        <v>28926.580259544346</v>
      </c>
    </row>
    <row r="24" spans="3:28" x14ac:dyDescent="0.3">
      <c r="K24" s="8"/>
      <c r="M24" s="8"/>
      <c r="N24" s="8"/>
      <c r="R24" s="20" t="s">
        <v>46</v>
      </c>
      <c r="S24" s="3">
        <v>1.98</v>
      </c>
      <c r="T24" s="10">
        <v>5837187</v>
      </c>
      <c r="U24" s="10">
        <f t="shared" si="10"/>
        <v>11557630.26</v>
      </c>
      <c r="V24" s="10">
        <f t="shared" si="6"/>
        <v>5689918.1008356633</v>
      </c>
      <c r="Y24" s="20" t="s">
        <v>46</v>
      </c>
      <c r="Z24" s="10">
        <f t="shared" si="7"/>
        <v>5689918.1008356633</v>
      </c>
      <c r="AA24" s="10">
        <f t="shared" si="8"/>
        <v>14944728.096625146</v>
      </c>
      <c r="AB24" s="10">
        <f t="shared" si="9"/>
        <v>22651971.958048146</v>
      </c>
    </row>
    <row r="25" spans="3:28" x14ac:dyDescent="0.3">
      <c r="D25" s="1" t="s">
        <v>167</v>
      </c>
      <c r="E25" s="1" t="s">
        <v>172</v>
      </c>
      <c r="F25" s="1" t="s">
        <v>173</v>
      </c>
      <c r="K25" s="9" t="s">
        <v>127</v>
      </c>
      <c r="L25" s="1" t="s">
        <v>128</v>
      </c>
      <c r="M25" s="8"/>
      <c r="N25" s="8"/>
      <c r="R25" s="20" t="s">
        <v>45</v>
      </c>
      <c r="S25" s="3">
        <v>1.93</v>
      </c>
      <c r="T25" s="10">
        <v>102746</v>
      </c>
      <c r="U25" s="10">
        <f t="shared" si="10"/>
        <v>198299.78</v>
      </c>
      <c r="V25" s="10">
        <f t="shared" si="6"/>
        <v>97624.641231058893</v>
      </c>
      <c r="Y25" s="20" t="s">
        <v>45</v>
      </c>
      <c r="Z25" s="10">
        <f t="shared" si="7"/>
        <v>97624.641231058893</v>
      </c>
      <c r="AA25" s="10">
        <f t="shared" si="8"/>
        <v>256413.83458831857</v>
      </c>
      <c r="AB25" s="10">
        <f t="shared" si="9"/>
        <v>388650.69696797145</v>
      </c>
    </row>
    <row r="26" spans="3:28" x14ac:dyDescent="0.3">
      <c r="D26" s="1" t="s">
        <v>168</v>
      </c>
      <c r="E26" s="10">
        <f>-75*1000*($N$10*E19+$N$11*E20+$N$12*E21+$N$14*E22)-F21*N12-F22*N14</f>
        <v>-23623948243.077606</v>
      </c>
      <c r="F26" s="10">
        <f>E26/10^9</f>
        <v>-23.623948243077606</v>
      </c>
      <c r="K26" s="9" t="s">
        <v>129</v>
      </c>
      <c r="L26" s="3">
        <v>125</v>
      </c>
      <c r="M26" s="8"/>
      <c r="N26" s="8"/>
      <c r="R26" s="20" t="s">
        <v>47</v>
      </c>
      <c r="S26" s="3">
        <v>3.9</v>
      </c>
      <c r="T26" s="10">
        <v>21905</v>
      </c>
      <c r="U26" s="10">
        <f t="shared" si="10"/>
        <v>85429.5</v>
      </c>
      <c r="V26" s="10">
        <f t="shared" si="6"/>
        <v>42057.657794924155</v>
      </c>
      <c r="Y26" s="20" t="s">
        <v>47</v>
      </c>
      <c r="Z26" s="10">
        <f t="shared" si="7"/>
        <v>42057.657794924155</v>
      </c>
      <c r="AA26" s="10">
        <f t="shared" si="8"/>
        <v>110465.60758646711</v>
      </c>
      <c r="AB26" s="10">
        <f t="shared" si="9"/>
        <v>167434.55144844495</v>
      </c>
    </row>
    <row r="27" spans="3:28" x14ac:dyDescent="0.3">
      <c r="D27" s="1" t="s">
        <v>169</v>
      </c>
      <c r="E27" s="10">
        <f>155*1000*($N$10*E19+$N$11*E20+$N$12*E21+$N$14*E22)+F21*N12+F22*N14</f>
        <v>48706630451.077606</v>
      </c>
      <c r="F27" s="10">
        <f>E27/10^9</f>
        <v>48.706630451077608</v>
      </c>
      <c r="K27" s="1" t="s">
        <v>130</v>
      </c>
      <c r="L27" s="3">
        <v>1.2</v>
      </c>
      <c r="M27" s="8"/>
      <c r="N27" s="8"/>
      <c r="R27" s="20" t="s">
        <v>121</v>
      </c>
      <c r="S27" s="30">
        <v>1.97</v>
      </c>
      <c r="T27" s="10">
        <v>138836</v>
      </c>
      <c r="U27" s="10">
        <f t="shared" si="10"/>
        <v>273506.92</v>
      </c>
      <c r="V27" s="10">
        <f t="shared" si="6"/>
        <v>134649.74564879457</v>
      </c>
      <c r="Y27" s="20" t="s">
        <v>121</v>
      </c>
      <c r="Z27" s="10">
        <f t="shared" si="7"/>
        <v>134649.74564879457</v>
      </c>
      <c r="AA27" s="10">
        <f t="shared" si="8"/>
        <v>353661.30080245412</v>
      </c>
      <c r="AB27" s="10">
        <f t="shared" si="9"/>
        <v>536050.29255989683</v>
      </c>
    </row>
    <row r="28" spans="3:28" x14ac:dyDescent="0.3">
      <c r="D28" s="1" t="s">
        <v>170</v>
      </c>
      <c r="E28" s="10">
        <f>-80*1000*($N$10*E19+$N$11*E20)</f>
        <v>-8929708800</v>
      </c>
      <c r="F28" s="10">
        <f>E28/10^9</f>
        <v>-8.9297088000000002</v>
      </c>
      <c r="K28" s="1" t="s">
        <v>131</v>
      </c>
      <c r="L28" s="3">
        <v>0.95</v>
      </c>
      <c r="M28" s="8"/>
      <c r="N28" s="8"/>
      <c r="R28" s="58" t="s">
        <v>51</v>
      </c>
      <c r="S28" s="60"/>
      <c r="T28" s="13">
        <f>SUM(T21:T27)</f>
        <v>7222282</v>
      </c>
      <c r="U28" s="13">
        <f>SUM(U21:U27)</f>
        <v>13530625.119999999</v>
      </c>
      <c r="V28" s="13">
        <f>SUM(V21:V27)</f>
        <v>6661239.9820713531</v>
      </c>
      <c r="Y28" s="19" t="s">
        <v>51</v>
      </c>
      <c r="Z28" s="13">
        <f t="shared" si="7"/>
        <v>6661239.9820713531</v>
      </c>
      <c r="AA28" s="13">
        <f t="shared" si="8"/>
        <v>17495932.024716459</v>
      </c>
      <c r="AB28" s="13">
        <f t="shared" si="9"/>
        <v>26518874.016402554</v>
      </c>
    </row>
    <row r="29" spans="3:28" x14ac:dyDescent="0.3">
      <c r="D29" s="1" t="s">
        <v>171</v>
      </c>
      <c r="E29" s="42">
        <f>SUM(E26:E28)</f>
        <v>16152973408</v>
      </c>
      <c r="F29" s="10">
        <f>E29/10^9</f>
        <v>16.152973408000001</v>
      </c>
      <c r="M29" s="8"/>
      <c r="N29" s="8"/>
      <c r="R29" s="58" t="s">
        <v>123</v>
      </c>
      <c r="S29" s="59"/>
      <c r="T29" s="59"/>
      <c r="U29" s="59"/>
      <c r="V29" s="60"/>
      <c r="Y29" s="54" t="s">
        <v>122</v>
      </c>
      <c r="Z29" s="54"/>
      <c r="AA29" s="54"/>
      <c r="AB29" s="54"/>
    </row>
    <row r="30" spans="3:28" x14ac:dyDescent="0.3">
      <c r="M30" s="8"/>
      <c r="N30" s="8"/>
      <c r="R30" s="20" t="s">
        <v>49</v>
      </c>
      <c r="S30" s="3">
        <v>1.74</v>
      </c>
      <c r="T30" s="15">
        <v>2250175</v>
      </c>
      <c r="U30" s="15">
        <f>S30*T30</f>
        <v>3915304.5</v>
      </c>
      <c r="V30" s="10">
        <f>U30*(1/6.25)^($V$6)*($V$8/$V$7)</f>
        <v>1927537.171866002</v>
      </c>
      <c r="Y30" s="20" t="s">
        <v>49</v>
      </c>
      <c r="Z30" s="10">
        <f>V30</f>
        <v>1927537.171866002</v>
      </c>
      <c r="AA30" s="10">
        <f>Z30*(5/1)^$AB$6</f>
        <v>5062729.9759278568</v>
      </c>
      <c r="AB30" s="10">
        <f>Z30*(10/1)^$AB$6</f>
        <v>7673663.6962826429</v>
      </c>
    </row>
    <row r="31" spans="3:28" x14ac:dyDescent="0.3">
      <c r="K31" s="1" t="s">
        <v>132</v>
      </c>
      <c r="L31" s="3">
        <f>(N15*1000/E10)*2*96485/(O6*3600*L28*L26*10)</f>
        <v>595.83719298245614</v>
      </c>
      <c r="M31" s="8"/>
      <c r="R31" s="20" t="s">
        <v>124</v>
      </c>
      <c r="S31" s="30">
        <v>2.5</v>
      </c>
      <c r="T31" s="15">
        <v>2868818</v>
      </c>
      <c r="U31" s="15">
        <f t="shared" ref="U31:U33" si="11">S31*T31</f>
        <v>7172045</v>
      </c>
      <c r="V31" s="10">
        <f>U31*(1/6.25)^($V$6)*($V$8/$V$7)</f>
        <v>3530857.7751221391</v>
      </c>
      <c r="Y31" s="20" t="s">
        <v>124</v>
      </c>
      <c r="Z31" s="10">
        <f>V31</f>
        <v>3530857.7751221391</v>
      </c>
      <c r="AA31" s="10">
        <f>Z31*(5/1)^$AB$6</f>
        <v>9273896.1197535209</v>
      </c>
      <c r="AB31" s="10">
        <f>Z31*(10/1)^$AB$6</f>
        <v>14056597.984806914</v>
      </c>
    </row>
    <row r="32" spans="3:28" x14ac:dyDescent="0.3">
      <c r="C32" s="8"/>
      <c r="E32" s="51" t="s">
        <v>0</v>
      </c>
      <c r="F32" s="52"/>
      <c r="G32" s="52"/>
      <c r="H32" s="53"/>
      <c r="K32" s="1" t="s">
        <v>133</v>
      </c>
      <c r="L32" s="3">
        <f>O15*L38</f>
        <v>5949072.1382400002</v>
      </c>
      <c r="M32" s="8"/>
      <c r="R32" s="20" t="s">
        <v>125</v>
      </c>
      <c r="S32" s="3">
        <v>2.2999999999999998</v>
      </c>
      <c r="T32" s="10">
        <v>639362</v>
      </c>
      <c r="U32" s="15">
        <f t="shared" si="11"/>
        <v>1470532.5999999999</v>
      </c>
      <c r="V32" s="10">
        <f>U32*(1/6.25)^($V$6)*($V$8/$V$7)</f>
        <v>723955.50561667897</v>
      </c>
      <c r="Y32" s="20" t="s">
        <v>125</v>
      </c>
      <c r="Z32" s="10">
        <f>V32</f>
        <v>723955.50561667897</v>
      </c>
      <c r="AA32" s="10">
        <f>Z32*(5/1)^$AB$6</f>
        <v>1901489.2646533949</v>
      </c>
      <c r="AB32" s="10">
        <f>Z32*(10/1)^$AB$6</f>
        <v>2882118.7794768256</v>
      </c>
    </row>
    <row r="33" spans="3:30" x14ac:dyDescent="0.3">
      <c r="C33" s="8"/>
      <c r="E33" s="1" t="s">
        <v>2</v>
      </c>
      <c r="F33" s="1" t="s">
        <v>91</v>
      </c>
      <c r="G33" s="1" t="s">
        <v>92</v>
      </c>
      <c r="H33" s="1" t="s">
        <v>3</v>
      </c>
      <c r="M33" s="8"/>
      <c r="N33" s="8"/>
      <c r="R33" s="20" t="s">
        <v>126</v>
      </c>
      <c r="S33" s="30">
        <v>1.5</v>
      </c>
      <c r="T33" s="10">
        <v>923378</v>
      </c>
      <c r="U33" s="15">
        <f t="shared" si="11"/>
        <v>1385067</v>
      </c>
      <c r="V33" s="10">
        <f>U33*(1/6.25)^($V$6)*($V$8/$V$7)</f>
        <v>681880.07548964012</v>
      </c>
      <c r="Y33" s="20" t="s">
        <v>126</v>
      </c>
      <c r="Z33" s="10">
        <f>V33</f>
        <v>681880.07548964012</v>
      </c>
      <c r="AA33" s="10">
        <f>Z33*(5/1)^$AB$6</f>
        <v>1790976.9775424793</v>
      </c>
      <c r="AB33" s="10">
        <f>Z33*(10/1)^$AB$6</f>
        <v>2714613.4750998574</v>
      </c>
    </row>
    <row r="34" spans="3:30" x14ac:dyDescent="0.3">
      <c r="D34" s="48" t="s">
        <v>8</v>
      </c>
      <c r="E34" s="1" t="s">
        <v>16</v>
      </c>
      <c r="F34" s="3">
        <v>0.25</v>
      </c>
      <c r="G34" s="3">
        <v>0.4</v>
      </c>
      <c r="H34" s="3" t="s">
        <v>25</v>
      </c>
      <c r="M34" s="8"/>
      <c r="N34" s="8"/>
      <c r="R34" s="58" t="s">
        <v>139</v>
      </c>
      <c r="S34" s="60"/>
      <c r="T34" s="18">
        <f>SUM(T30:T33)</f>
        <v>6681733</v>
      </c>
      <c r="U34" s="18">
        <f>SUM(U30:U33)</f>
        <v>13942949.1</v>
      </c>
      <c r="V34" s="18">
        <f>SUM(V30:V33)</f>
        <v>6864230.5280944603</v>
      </c>
      <c r="Y34" s="19" t="s">
        <v>139</v>
      </c>
      <c r="Z34" s="13">
        <f>V34</f>
        <v>6864230.5280944603</v>
      </c>
      <c r="AA34" s="13">
        <f>Z34*(5/1)^$AB$6</f>
        <v>18029092.337877251</v>
      </c>
      <c r="AB34" s="13">
        <f>Z34*(10/1)^$AB$6</f>
        <v>27326993.935666241</v>
      </c>
    </row>
    <row r="35" spans="3:30" x14ac:dyDescent="0.3">
      <c r="D35" s="49"/>
      <c r="E35" s="1" t="s">
        <v>1</v>
      </c>
      <c r="F35" s="3">
        <v>0</v>
      </c>
      <c r="G35" s="3">
        <v>0.1</v>
      </c>
      <c r="H35" s="3" t="s">
        <v>26</v>
      </c>
      <c r="K35" s="1" t="s">
        <v>65</v>
      </c>
      <c r="L35" s="1" t="s">
        <v>30</v>
      </c>
      <c r="M35" s="1" t="s">
        <v>3</v>
      </c>
      <c r="N35" s="8"/>
      <c r="R35" s="58" t="s">
        <v>137</v>
      </c>
      <c r="S35" s="59"/>
      <c r="T35" s="59"/>
      <c r="U35" s="59"/>
      <c r="V35" s="60"/>
      <c r="Y35" s="54" t="s">
        <v>137</v>
      </c>
      <c r="Z35" s="54"/>
      <c r="AA35" s="54"/>
      <c r="AB35" s="54"/>
    </row>
    <row r="36" spans="3:30" x14ac:dyDescent="0.3">
      <c r="D36" s="49"/>
      <c r="E36" s="1" t="s">
        <v>15</v>
      </c>
      <c r="F36" s="3">
        <f>0.01</f>
        <v>0.01</v>
      </c>
      <c r="G36" s="3" t="s">
        <v>17</v>
      </c>
      <c r="H36" s="3" t="s">
        <v>28</v>
      </c>
      <c r="K36" s="20" t="s">
        <v>61</v>
      </c>
      <c r="L36" s="10">
        <v>10000</v>
      </c>
      <c r="M36" s="25" t="s">
        <v>84</v>
      </c>
      <c r="N36" s="8"/>
      <c r="R36" s="21" t="s">
        <v>127</v>
      </c>
      <c r="S36" s="3" t="s">
        <v>17</v>
      </c>
      <c r="T36" s="3" t="s">
        <v>17</v>
      </c>
      <c r="U36" s="3" t="s">
        <v>17</v>
      </c>
      <c r="V36" s="10">
        <f>L31*L36</f>
        <v>5958371.9298245618</v>
      </c>
      <c r="Y36" s="21" t="s">
        <v>127</v>
      </c>
      <c r="Z36" s="10">
        <f>V36</f>
        <v>5958371.9298245618</v>
      </c>
      <c r="AA36" s="10">
        <f>Z36*(5/1)^$AB$6</f>
        <v>15649829.542663142</v>
      </c>
      <c r="AB36" s="10">
        <f>Z36*(10/1)^$AB$6</f>
        <v>23720705.900878374</v>
      </c>
    </row>
    <row r="37" spans="3:30" x14ac:dyDescent="0.3">
      <c r="D37" s="49"/>
      <c r="E37" s="1" t="s">
        <v>4</v>
      </c>
      <c r="F37" s="36">
        <v>3.6999999999999998E-2</v>
      </c>
      <c r="G37" s="3" t="s">
        <v>17</v>
      </c>
      <c r="H37" s="3" t="s">
        <v>28</v>
      </c>
      <c r="K37" s="20" t="s">
        <v>62</v>
      </c>
      <c r="L37" s="43">
        <v>9.5299999999999996E-2</v>
      </c>
      <c r="M37" s="3" t="s">
        <v>187</v>
      </c>
      <c r="N37" s="8"/>
      <c r="R37" s="33" t="s">
        <v>136</v>
      </c>
      <c r="S37" s="34">
        <v>1.3</v>
      </c>
      <c r="T37" s="22">
        <v>600000</v>
      </c>
      <c r="U37" s="10">
        <f t="shared" ref="U37" si="12">S37*T37</f>
        <v>780000</v>
      </c>
      <c r="V37" s="10">
        <f>U37*(1/6.25)^($V$6)*($V$8/$V$7)</f>
        <v>384000.52768704999</v>
      </c>
      <c r="Y37" s="33" t="s">
        <v>136</v>
      </c>
      <c r="Z37" s="10">
        <f>V37</f>
        <v>384000.52768704999</v>
      </c>
      <c r="AA37" s="10">
        <f>Z37*(5/1)^$AB$6</f>
        <v>1008588.0628757554</v>
      </c>
      <c r="AB37" s="10">
        <f>Z37*(10/1)^$AB$6</f>
        <v>1528733.6356854136</v>
      </c>
    </row>
    <row r="38" spans="3:30" x14ac:dyDescent="0.3">
      <c r="D38" s="49"/>
      <c r="E38" s="1" t="s">
        <v>29</v>
      </c>
      <c r="F38" s="3">
        <v>1.5</v>
      </c>
      <c r="G38" s="3" t="s">
        <v>17</v>
      </c>
      <c r="H38" s="3" t="s">
        <v>27</v>
      </c>
      <c r="K38" s="20" t="s">
        <v>94</v>
      </c>
      <c r="L38" s="10">
        <v>31.9</v>
      </c>
      <c r="M38" s="3" t="s">
        <v>17</v>
      </c>
      <c r="N38" s="8"/>
      <c r="R38" s="58" t="s">
        <v>138</v>
      </c>
      <c r="S38" s="60"/>
      <c r="T38" s="16">
        <f>SUM(T36:T37)</f>
        <v>600000</v>
      </c>
      <c r="U38" s="16">
        <f>SUM(U36:U37)</f>
        <v>780000</v>
      </c>
      <c r="V38" s="16">
        <f>SUM(V36:V37)</f>
        <v>6342372.4575116122</v>
      </c>
      <c r="Y38" s="19" t="s">
        <v>138</v>
      </c>
      <c r="Z38" s="13">
        <f>V38</f>
        <v>6342372.4575116122</v>
      </c>
      <c r="AA38" s="13">
        <f>Z38*(5/1)^$AB$6</f>
        <v>16658417.605538899</v>
      </c>
      <c r="AB38" s="13">
        <f>Z38*(10/1)^$AB$6</f>
        <v>25249439.536563791</v>
      </c>
    </row>
    <row r="39" spans="3:30" ht="17.25" thickBot="1" x14ac:dyDescent="0.35">
      <c r="D39" s="50"/>
      <c r="E39" s="4" t="s">
        <v>5</v>
      </c>
      <c r="F39" s="38">
        <v>2.2000000000000001E-4</v>
      </c>
      <c r="G39" s="5" t="s">
        <v>17</v>
      </c>
      <c r="H39" s="37" t="s">
        <v>84</v>
      </c>
      <c r="K39" s="20" t="s">
        <v>64</v>
      </c>
      <c r="L39" s="10">
        <v>17</v>
      </c>
      <c r="M39" s="3" t="s">
        <v>17</v>
      </c>
      <c r="N39" s="8"/>
      <c r="R39" s="58" t="s">
        <v>53</v>
      </c>
      <c r="S39" s="59"/>
      <c r="T39" s="59"/>
      <c r="U39" s="59"/>
      <c r="V39" s="60"/>
      <c r="Y39" s="58" t="s">
        <v>53</v>
      </c>
      <c r="Z39" s="59"/>
      <c r="AA39" s="59"/>
      <c r="AB39" s="60"/>
    </row>
    <row r="40" spans="3:30" ht="17.25" thickTop="1" x14ac:dyDescent="0.3">
      <c r="D40" s="46" t="s">
        <v>12</v>
      </c>
      <c r="E40" s="6" t="s">
        <v>13</v>
      </c>
      <c r="F40" s="7">
        <v>0.94</v>
      </c>
      <c r="G40" s="7" t="s">
        <v>17</v>
      </c>
      <c r="H40" s="7" t="s">
        <v>17</v>
      </c>
      <c r="I40" s="8"/>
      <c r="J40" s="8"/>
      <c r="K40" s="20" t="s">
        <v>63</v>
      </c>
      <c r="L40" s="10">
        <v>13</v>
      </c>
      <c r="M40" s="3" t="s">
        <v>17</v>
      </c>
      <c r="N40" s="8"/>
      <c r="O40" s="8"/>
      <c r="P40" s="8"/>
      <c r="Q40" s="8"/>
      <c r="R40" s="19" t="s">
        <v>54</v>
      </c>
      <c r="S40" s="14"/>
      <c r="T40" s="10">
        <f>SUM(T$19,T$28,T$34,T$38)*0.25</f>
        <v>5681112</v>
      </c>
      <c r="U40" s="10">
        <f>SUM(U$19,U$28,U$34,U$38)*0.25</f>
        <v>10557077.58</v>
      </c>
      <c r="V40" s="10">
        <f>SUM(V$19,V$28,V$34,V$38)*0.25</f>
        <v>6686930.6254729675</v>
      </c>
      <c r="Y40" s="19" t="s">
        <v>54</v>
      </c>
      <c r="Z40" s="10">
        <f>V40</f>
        <v>6686930.6254729675</v>
      </c>
      <c r="AA40" s="10">
        <f>SUM(AA$19,AA$28,AA$34,AA$38)*0.25</f>
        <v>17563409.213923823</v>
      </c>
      <c r="AB40" s="10">
        <f>SUM(AB$19,AB$28,AB$34,AB$38)*0.25</f>
        <v>26621150.30994571</v>
      </c>
    </row>
    <row r="41" spans="3:30" ht="17.25" thickBot="1" x14ac:dyDescent="0.35">
      <c r="D41" s="47"/>
      <c r="E41" s="1" t="s">
        <v>14</v>
      </c>
      <c r="F41" s="3">
        <v>0.84</v>
      </c>
      <c r="G41" s="3" t="s">
        <v>17</v>
      </c>
      <c r="H41" s="3" t="s">
        <v>17</v>
      </c>
      <c r="I41" s="8"/>
      <c r="J41" s="8"/>
      <c r="K41" s="20" t="s">
        <v>111</v>
      </c>
      <c r="L41" s="10">
        <v>0.05</v>
      </c>
      <c r="M41" s="25" t="s">
        <v>84</v>
      </c>
      <c r="O41" s="8"/>
      <c r="P41" s="8"/>
      <c r="Q41" s="8"/>
      <c r="R41" s="66" t="s">
        <v>55</v>
      </c>
      <c r="S41" s="67"/>
      <c r="T41" s="13">
        <f>SUM(T40)</f>
        <v>5681112</v>
      </c>
      <c r="U41" s="13">
        <f>SUM(U40)</f>
        <v>10557077.58</v>
      </c>
      <c r="V41" s="13">
        <f>SUM(V40)</f>
        <v>6686930.6254729675</v>
      </c>
      <c r="Y41" s="24" t="s">
        <v>55</v>
      </c>
      <c r="Z41" s="16">
        <f>V41</f>
        <v>6686930.6254729675</v>
      </c>
      <c r="AA41" s="13">
        <f>SUM(AA$19,AA$28,AA$34,AA$38)*0.25</f>
        <v>17563409.213923823</v>
      </c>
      <c r="AB41" s="13">
        <f>SUM(AB$19,AB$28,AB$34,AB$38)*0.25</f>
        <v>26621150.30994571</v>
      </c>
    </row>
    <row r="42" spans="3:30" ht="17.25" thickTop="1" x14ac:dyDescent="0.3">
      <c r="D42" s="47"/>
      <c r="E42" s="1" t="s">
        <v>11</v>
      </c>
      <c r="F42" s="3">
        <v>8</v>
      </c>
      <c r="G42" s="3" t="s">
        <v>17</v>
      </c>
      <c r="H42" s="3" t="s">
        <v>17</v>
      </c>
      <c r="I42" s="8"/>
      <c r="J42" s="8"/>
      <c r="O42" s="8"/>
      <c r="P42" s="8"/>
      <c r="Q42" s="8"/>
      <c r="R42" s="68" t="s">
        <v>52</v>
      </c>
      <c r="S42" s="69"/>
      <c r="T42" s="17">
        <f>SUM(T19,T28,T34,T38,T41)</f>
        <v>28405560</v>
      </c>
      <c r="U42" s="17">
        <f>SUM(U19,U28,U34,U38,U41)</f>
        <v>52785387.899999999</v>
      </c>
      <c r="V42" s="17">
        <f>SUM(V19,V28,V34,V38,V41)</f>
        <v>33434653.127364837</v>
      </c>
      <c r="Y42" s="23" t="s">
        <v>52</v>
      </c>
      <c r="Z42" s="17">
        <f>SUM(Z19,Z28,Z34,Z38,Z41)</f>
        <v>33434653.127364837</v>
      </c>
      <c r="AA42" s="17">
        <f>SUM(AA19,AA28,AA34,AA38,AA41)</f>
        <v>87817046.069619119</v>
      </c>
      <c r="AB42" s="17">
        <f>SUM(AB19,AB28,AB34,AB38,AB41)</f>
        <v>133105751.54972854</v>
      </c>
    </row>
    <row r="43" spans="3:30" x14ac:dyDescent="0.3">
      <c r="I43" s="8"/>
      <c r="J43" s="8"/>
      <c r="N43" s="8"/>
      <c r="O43" s="8"/>
      <c r="P43" s="8"/>
      <c r="Q43" s="8"/>
      <c r="R43" s="54" t="s">
        <v>87</v>
      </c>
      <c r="S43" s="54"/>
      <c r="T43" s="70">
        <f>V42*L58</f>
        <v>3546722.869338437</v>
      </c>
      <c r="U43" s="71"/>
      <c r="V43" s="72"/>
      <c r="Y43" s="19" t="s">
        <v>87</v>
      </c>
      <c r="Z43" s="13">
        <f>Z42*$L$58</f>
        <v>3546722.869338437</v>
      </c>
      <c r="AA43" s="13">
        <f>AA42*$L$58</f>
        <v>9315566.2308321148</v>
      </c>
      <c r="AB43" s="13">
        <f>AB42*$L$58</f>
        <v>14119758.062497064</v>
      </c>
    </row>
    <row r="44" spans="3:30" x14ac:dyDescent="0.3">
      <c r="I44" s="8"/>
      <c r="J44" s="8"/>
      <c r="K44" s="1" t="s">
        <v>179</v>
      </c>
      <c r="L44" s="1" t="s">
        <v>180</v>
      </c>
      <c r="M44" s="1" t="s">
        <v>3</v>
      </c>
      <c r="N44" s="8"/>
      <c r="O44" s="8"/>
      <c r="P44" s="8"/>
      <c r="Q44" s="8"/>
      <c r="R44" s="8"/>
      <c r="S44" s="8"/>
    </row>
    <row r="45" spans="3:30" x14ac:dyDescent="0.3">
      <c r="I45" s="8"/>
      <c r="J45" s="8"/>
      <c r="K45" s="20" t="s">
        <v>178</v>
      </c>
      <c r="L45" s="10">
        <v>4.7699999999999996</v>
      </c>
      <c r="M45" s="26" t="s">
        <v>188</v>
      </c>
      <c r="N45" s="8"/>
      <c r="O45" s="8"/>
      <c r="P45" s="8"/>
      <c r="Q45" s="8"/>
      <c r="S45" s="8"/>
      <c r="T45" s="8"/>
    </row>
    <row r="46" spans="3:30" x14ac:dyDescent="0.3">
      <c r="I46" s="8"/>
      <c r="J46" s="8"/>
      <c r="K46" s="20" t="s">
        <v>181</v>
      </c>
      <c r="L46" s="10">
        <f>F29</f>
        <v>16.152973408000001</v>
      </c>
      <c r="M46" s="3" t="s">
        <v>17</v>
      </c>
      <c r="N46" s="8"/>
      <c r="O46" s="8"/>
      <c r="P46" s="8"/>
      <c r="Q46" s="8"/>
      <c r="R46" s="56" t="s">
        <v>146</v>
      </c>
      <c r="S46" s="8"/>
      <c r="U46" s="56" t="s">
        <v>184</v>
      </c>
      <c r="V46" s="8"/>
    </row>
    <row r="47" spans="3:30" x14ac:dyDescent="0.3">
      <c r="I47" s="8"/>
      <c r="J47" s="8"/>
      <c r="K47" s="20" t="s">
        <v>182</v>
      </c>
      <c r="L47" s="10">
        <f>L45*L46</f>
        <v>77.04968315616</v>
      </c>
      <c r="M47" s="3" t="s">
        <v>17</v>
      </c>
      <c r="N47" s="8"/>
      <c r="O47" s="8"/>
      <c r="P47" s="8"/>
      <c r="Q47" s="8"/>
      <c r="R47" s="57"/>
      <c r="U47" s="57"/>
      <c r="Y47" s="56" t="s">
        <v>146</v>
      </c>
      <c r="Z47" s="8"/>
      <c r="AD47" s="56" t="s">
        <v>184</v>
      </c>
    </row>
    <row r="48" spans="3:30" x14ac:dyDescent="0.3">
      <c r="N48" s="8"/>
      <c r="R48" s="19" t="s">
        <v>81</v>
      </c>
      <c r="S48" s="14" t="s">
        <v>82</v>
      </c>
      <c r="U48" s="19" t="s">
        <v>81</v>
      </c>
      <c r="V48" s="14" t="s">
        <v>82</v>
      </c>
      <c r="Y48" s="57"/>
      <c r="AD48" s="57"/>
    </row>
    <row r="49" spans="8:33" ht="17.25" thickBot="1" x14ac:dyDescent="0.35">
      <c r="H49" s="8"/>
      <c r="N49" s="8"/>
      <c r="R49" s="1" t="s">
        <v>6</v>
      </c>
      <c r="S49" s="28">
        <f>N9*F36</f>
        <v>912.625</v>
      </c>
      <c r="U49" s="1" t="s">
        <v>67</v>
      </c>
      <c r="V49" s="28">
        <f>L52*O14</f>
        <v>125538.87042681601</v>
      </c>
      <c r="Y49" s="19" t="s">
        <v>81</v>
      </c>
      <c r="Z49" s="19" t="s">
        <v>155</v>
      </c>
      <c r="AA49" s="19" t="s">
        <v>154</v>
      </c>
      <c r="AB49" s="19" t="s">
        <v>153</v>
      </c>
      <c r="AD49" s="19" t="s">
        <v>81</v>
      </c>
      <c r="AE49" s="19" t="s">
        <v>155</v>
      </c>
      <c r="AF49" s="19" t="s">
        <v>154</v>
      </c>
      <c r="AG49" s="19" t="s">
        <v>153</v>
      </c>
    </row>
    <row r="50" spans="8:33" ht="18" thickTop="1" thickBot="1" x14ac:dyDescent="0.35">
      <c r="H50" s="8"/>
      <c r="I50" s="8"/>
      <c r="J50" s="8"/>
      <c r="K50" s="1" t="s">
        <v>183</v>
      </c>
      <c r="L50" s="1" t="s">
        <v>180</v>
      </c>
      <c r="M50" s="1" t="s">
        <v>3</v>
      </c>
      <c r="N50" s="8"/>
      <c r="O50" s="8"/>
      <c r="P50" s="8"/>
      <c r="Q50" s="8"/>
      <c r="R50" s="1" t="s">
        <v>4</v>
      </c>
      <c r="S50" s="28">
        <f>N10*F37</f>
        <v>181.44799999999998</v>
      </c>
      <c r="U50" s="23" t="s">
        <v>90</v>
      </c>
      <c r="V50" s="17">
        <f>SUM(V49:V49)</f>
        <v>125538.87042681601</v>
      </c>
      <c r="Y50" s="1" t="s">
        <v>6</v>
      </c>
      <c r="Z50" s="28">
        <f>S49</f>
        <v>912.625</v>
      </c>
      <c r="AA50" s="28">
        <f t="shared" ref="AA50:AA52" si="13">Z50*5</f>
        <v>4563.125</v>
      </c>
      <c r="AB50" s="28">
        <f>Z50*10</f>
        <v>9126.25</v>
      </c>
      <c r="AD50" s="1" t="s">
        <v>67</v>
      </c>
      <c r="AE50" s="28">
        <f>V50</f>
        <v>125538.87042681601</v>
      </c>
      <c r="AF50" s="28">
        <f t="shared" ref="AF50" si="14">AE50*5</f>
        <v>627694.35213408002</v>
      </c>
      <c r="AG50" s="28">
        <f t="shared" ref="AG50" si="15">AE50*10</f>
        <v>1255388.70426816</v>
      </c>
    </row>
    <row r="51" spans="8:33" ht="18" thickTop="1" thickBot="1" x14ac:dyDescent="0.35">
      <c r="H51" s="8"/>
      <c r="I51" s="8"/>
      <c r="J51" s="8"/>
      <c r="K51" s="20" t="s">
        <v>163</v>
      </c>
      <c r="L51" s="35">
        <f>N14/(N14+N12)*100</f>
        <v>0.83516518318031119</v>
      </c>
      <c r="M51" s="10"/>
      <c r="O51" s="8"/>
      <c r="P51" s="8"/>
      <c r="Q51" s="8"/>
      <c r="R51" s="1" t="s">
        <v>7</v>
      </c>
      <c r="S51" s="28">
        <f>N11*F38</f>
        <v>82500</v>
      </c>
      <c r="Y51" s="1" t="s">
        <v>4</v>
      </c>
      <c r="Z51" s="28">
        <f>S50</f>
        <v>181.44799999999998</v>
      </c>
      <c r="AA51" s="28">
        <f t="shared" si="13"/>
        <v>907.2399999999999</v>
      </c>
      <c r="AB51" s="28">
        <f t="shared" ref="AB51:AB52" si="16">Z51*10</f>
        <v>1814.4799999999998</v>
      </c>
      <c r="AD51" s="23" t="s">
        <v>90</v>
      </c>
      <c r="AE51" s="17">
        <f>SUM(AE50:AE50)</f>
        <v>125538.87042681601</v>
      </c>
      <c r="AF51" s="17">
        <f>SUM(AF50:AF50)</f>
        <v>627694.35213408002</v>
      </c>
      <c r="AG51" s="17">
        <f>SUM(AG50:AG50)</f>
        <v>1255388.70426816</v>
      </c>
    </row>
    <row r="52" spans="8:33" ht="18" thickTop="1" thickBot="1" x14ac:dyDescent="0.35">
      <c r="H52" s="8"/>
      <c r="I52" s="8"/>
      <c r="J52" s="8"/>
      <c r="K52" s="20" t="s">
        <v>140</v>
      </c>
      <c r="L52" s="43">
        <v>8.8448499999999999E-2</v>
      </c>
      <c r="M52" s="25" t="s">
        <v>142</v>
      </c>
      <c r="O52" s="8"/>
      <c r="P52" s="8"/>
      <c r="Q52" s="8"/>
      <c r="R52" s="23" t="s">
        <v>90</v>
      </c>
      <c r="S52" s="17">
        <f>SUM(S49:S51)</f>
        <v>83594.073000000004</v>
      </c>
      <c r="Y52" s="1" t="s">
        <v>7</v>
      </c>
      <c r="Z52" s="28">
        <f>S51</f>
        <v>82500</v>
      </c>
      <c r="AA52" s="28">
        <f t="shared" si="13"/>
        <v>412500</v>
      </c>
      <c r="AB52" s="28">
        <f t="shared" si="16"/>
        <v>825000</v>
      </c>
    </row>
    <row r="53" spans="8:33" ht="16.5" customHeight="1" thickTop="1" x14ac:dyDescent="0.3">
      <c r="H53" s="8"/>
      <c r="I53" s="8"/>
      <c r="J53" s="8"/>
      <c r="K53" s="20" t="s">
        <v>141</v>
      </c>
      <c r="L53" s="35">
        <v>0.86329299999999998</v>
      </c>
      <c r="M53" s="25" t="s">
        <v>142</v>
      </c>
      <c r="O53" s="8"/>
      <c r="P53" s="8"/>
      <c r="Q53" s="55"/>
      <c r="Y53" s="23" t="s">
        <v>90</v>
      </c>
      <c r="Z53" s="17">
        <f>SUM(Z50:Z52)</f>
        <v>83594.073000000004</v>
      </c>
      <c r="AA53" s="17">
        <f>SUM(AA50:AA52)</f>
        <v>417970.36499999999</v>
      </c>
      <c r="AB53" s="17">
        <f>SUM(AB50:AB52)</f>
        <v>835940.73</v>
      </c>
    </row>
    <row r="54" spans="8:33" ht="16.5" customHeight="1" x14ac:dyDescent="0.3">
      <c r="H54" s="8"/>
      <c r="I54" s="8"/>
      <c r="J54" s="8"/>
      <c r="O54" s="8"/>
      <c r="P54" s="8"/>
      <c r="Q54" s="55"/>
    </row>
    <row r="55" spans="8:33" ht="16.899999999999999" customHeight="1" x14ac:dyDescent="0.3">
      <c r="I55" s="8"/>
      <c r="J55" s="8"/>
      <c r="O55" s="8"/>
      <c r="P55" s="8"/>
      <c r="Q55" s="55"/>
      <c r="R55" s="56" t="s">
        <v>147</v>
      </c>
      <c r="S55" s="8"/>
      <c r="U55" s="56" t="s">
        <v>185</v>
      </c>
      <c r="V55" s="8"/>
    </row>
    <row r="56" spans="8:33" ht="16.899999999999999" customHeight="1" x14ac:dyDescent="0.3">
      <c r="I56" s="8"/>
      <c r="J56" s="8"/>
      <c r="K56" s="20" t="s">
        <v>76</v>
      </c>
      <c r="L56" s="10">
        <v>0.1</v>
      </c>
      <c r="M56" s="3" t="s">
        <v>85</v>
      </c>
      <c r="O56" s="8"/>
      <c r="P56" s="8"/>
      <c r="Q56" s="55"/>
      <c r="R56" s="57"/>
      <c r="U56" s="57"/>
    </row>
    <row r="57" spans="8:33" ht="16.5" customHeight="1" x14ac:dyDescent="0.3">
      <c r="I57" s="8"/>
      <c r="J57" s="8"/>
      <c r="K57" s="20" t="s">
        <v>77</v>
      </c>
      <c r="L57" s="10">
        <v>30</v>
      </c>
      <c r="M57" s="3" t="s">
        <v>85</v>
      </c>
      <c r="O57" s="8"/>
      <c r="P57" s="8"/>
      <c r="Q57" s="8"/>
      <c r="R57" s="19" t="s">
        <v>81</v>
      </c>
      <c r="S57" s="14" t="s">
        <v>82</v>
      </c>
      <c r="U57" s="19" t="s">
        <v>81</v>
      </c>
      <c r="V57" s="14" t="s">
        <v>82</v>
      </c>
      <c r="Y57" s="56" t="s">
        <v>147</v>
      </c>
      <c r="AD57" s="56" t="s">
        <v>185</v>
      </c>
    </row>
    <row r="58" spans="8:33" ht="16.5" customHeight="1" thickBot="1" x14ac:dyDescent="0.35">
      <c r="K58" s="20" t="s">
        <v>78</v>
      </c>
      <c r="L58" s="10">
        <f>(L56*(1+L56)^(L57))/(((1+L56)^(L57))-1)</f>
        <v>0.1060792482526339</v>
      </c>
      <c r="M58" s="3" t="s">
        <v>17</v>
      </c>
      <c r="R58" s="1" t="s">
        <v>19</v>
      </c>
      <c r="S58" s="28">
        <f>O8*G35</f>
        <v>350400</v>
      </c>
      <c r="U58" s="4" t="s">
        <v>67</v>
      </c>
      <c r="V58" s="29">
        <f>L53*O14</f>
        <v>1225309.9607950081</v>
      </c>
      <c r="Y58" s="57"/>
      <c r="AD58" s="57"/>
    </row>
    <row r="59" spans="8:33" ht="17.25" thickTop="1" x14ac:dyDescent="0.3">
      <c r="K59" s="20" t="s">
        <v>83</v>
      </c>
      <c r="L59" s="10">
        <v>0.8</v>
      </c>
      <c r="M59" s="25" t="s">
        <v>84</v>
      </c>
      <c r="R59" s="1" t="s">
        <v>7</v>
      </c>
      <c r="S59" s="28">
        <f>L67*24*365*$L$59</f>
        <v>289080.00000138034</v>
      </c>
      <c r="U59" s="23" t="s">
        <v>90</v>
      </c>
      <c r="V59" s="17">
        <f>SUM(V58:V58)</f>
        <v>1225309.9607950081</v>
      </c>
      <c r="Y59" s="19" t="s">
        <v>81</v>
      </c>
      <c r="Z59" s="19" t="s">
        <v>155</v>
      </c>
      <c r="AA59" s="19" t="s">
        <v>154</v>
      </c>
      <c r="AB59" s="19" t="s">
        <v>153</v>
      </c>
      <c r="AD59" s="19" t="s">
        <v>81</v>
      </c>
      <c r="AE59" s="19" t="s">
        <v>155</v>
      </c>
      <c r="AF59" s="19" t="s">
        <v>154</v>
      </c>
      <c r="AG59" s="19" t="s">
        <v>153</v>
      </c>
    </row>
    <row r="60" spans="8:33" ht="17.25" thickBot="1" x14ac:dyDescent="0.35">
      <c r="K60" s="20" t="s">
        <v>105</v>
      </c>
      <c r="L60" s="10"/>
      <c r="M60" s="26" t="s">
        <v>86</v>
      </c>
      <c r="R60" s="27" t="s">
        <v>6</v>
      </c>
      <c r="S60" s="28">
        <f>L68*24*365*$L$59</f>
        <v>0</v>
      </c>
      <c r="Y60" s="1" t="s">
        <v>19</v>
      </c>
      <c r="Z60" s="28">
        <f>S58</f>
        <v>350400</v>
      </c>
      <c r="AA60" s="28">
        <f>Z60*5</f>
        <v>1752000</v>
      </c>
      <c r="AB60" s="28">
        <f>Z60*5</f>
        <v>1752000</v>
      </c>
      <c r="AD60" s="4" t="s">
        <v>67</v>
      </c>
      <c r="AE60" s="28">
        <f>V59</f>
        <v>1225309.9607950081</v>
      </c>
      <c r="AF60" s="28">
        <f t="shared" ref="AF60" si="17">AE60*5</f>
        <v>6126549.8039750401</v>
      </c>
      <c r="AG60" s="28">
        <f t="shared" ref="AG60" si="18">AE60*10</f>
        <v>12253099.60795008</v>
      </c>
    </row>
    <row r="61" spans="8:33" ht="17.25" thickTop="1" x14ac:dyDescent="0.3">
      <c r="K61" s="20" t="s">
        <v>66</v>
      </c>
      <c r="L61" s="10">
        <v>0.1</v>
      </c>
      <c r="M61" s="25" t="s">
        <v>84</v>
      </c>
      <c r="R61" s="27" t="s">
        <v>4</v>
      </c>
      <c r="S61" s="28">
        <f>L69*24*365*$L$59</f>
        <v>0</v>
      </c>
      <c r="Y61" s="1" t="s">
        <v>7</v>
      </c>
      <c r="Z61" s="28">
        <f>S59</f>
        <v>289080.00000138034</v>
      </c>
      <c r="AA61" s="28">
        <f>Z61*5</f>
        <v>1445400.0000069016</v>
      </c>
      <c r="AB61" s="28">
        <f>Z61*10</f>
        <v>2890800.0000138031</v>
      </c>
      <c r="AD61" s="23" t="s">
        <v>90</v>
      </c>
      <c r="AE61" s="17">
        <f>SUM(AE60:AE60)</f>
        <v>1225309.9607950081</v>
      </c>
      <c r="AF61" s="17">
        <f>SUM(AF60:AF60)</f>
        <v>6126549.8039750401</v>
      </c>
      <c r="AG61" s="17">
        <f>SUM(AG60:AG60)</f>
        <v>12253099.60795008</v>
      </c>
    </row>
    <row r="62" spans="8:33" ht="17.25" thickBot="1" x14ac:dyDescent="0.35">
      <c r="K62" s="21" t="s">
        <v>89</v>
      </c>
      <c r="L62" s="10">
        <v>0.1</v>
      </c>
      <c r="M62" s="25" t="s">
        <v>84</v>
      </c>
      <c r="R62" s="4" t="s">
        <v>5</v>
      </c>
      <c r="S62" s="29">
        <f>L66*24*365*L59</f>
        <v>37076.244480000008</v>
      </c>
      <c r="Y62" s="27" t="s">
        <v>6</v>
      </c>
      <c r="Z62" s="28">
        <f>S60</f>
        <v>0</v>
      </c>
      <c r="AA62" s="28">
        <f>Z62*5</f>
        <v>0</v>
      </c>
      <c r="AB62" s="28">
        <f>Z62*10</f>
        <v>0</v>
      </c>
    </row>
    <row r="63" spans="8:33" ht="17.25" customHeight="1" thickTop="1" x14ac:dyDescent="0.3">
      <c r="K63" s="20" t="s">
        <v>102</v>
      </c>
      <c r="L63" s="35">
        <v>99.998999999999995</v>
      </c>
      <c r="M63" s="3" t="s">
        <v>17</v>
      </c>
      <c r="R63" s="23" t="s">
        <v>90</v>
      </c>
      <c r="S63" s="17">
        <f>SUM(S58:S62)</f>
        <v>676556.24448138033</v>
      </c>
      <c r="T63" s="8"/>
      <c r="Y63" s="27" t="s">
        <v>4</v>
      </c>
      <c r="Z63" s="28">
        <f>S61</f>
        <v>0</v>
      </c>
      <c r="AA63" s="28">
        <f>Z63*5</f>
        <v>0</v>
      </c>
      <c r="AB63" s="28">
        <f>Z63*10</f>
        <v>0</v>
      </c>
    </row>
    <row r="64" spans="8:33" ht="16.899999999999999" customHeight="1" thickBot="1" x14ac:dyDescent="0.35">
      <c r="K64" s="20" t="s">
        <v>176</v>
      </c>
      <c r="L64" s="35">
        <v>100</v>
      </c>
      <c r="M64" s="3" t="s">
        <v>17</v>
      </c>
      <c r="T64" s="8"/>
      <c r="Y64" s="4" t="s">
        <v>5</v>
      </c>
      <c r="Z64" s="28">
        <f>S62</f>
        <v>37076.244480000008</v>
      </c>
      <c r="AA64" s="28">
        <f>Z64*5</f>
        <v>185381.22240000003</v>
      </c>
      <c r="AB64" s="28">
        <f>Z64*10</f>
        <v>370762.44480000006</v>
      </c>
    </row>
    <row r="65" spans="11:33" ht="16.899999999999999" customHeight="1" thickTop="1" x14ac:dyDescent="0.3">
      <c r="K65" s="20" t="s">
        <v>177</v>
      </c>
      <c r="L65" s="35">
        <v>100</v>
      </c>
      <c r="M65" s="3" t="s">
        <v>17</v>
      </c>
      <c r="Y65" s="23" t="s">
        <v>90</v>
      </c>
      <c r="Z65" s="17">
        <f>SUM(Z60:Z64)</f>
        <v>676556.24448138033</v>
      </c>
      <c r="AA65" s="17">
        <f>SUM(AA60:AA64)</f>
        <v>3382781.2224069014</v>
      </c>
      <c r="AB65" s="17">
        <f>SUM(AB60:AB64)</f>
        <v>5013562.4448138028</v>
      </c>
    </row>
    <row r="66" spans="11:33" ht="16.899999999999999" customHeight="1" x14ac:dyDescent="0.3">
      <c r="K66" s="20" t="s">
        <v>143</v>
      </c>
      <c r="L66" s="10">
        <f>N12*F39/O6</f>
        <v>5.290560000000001</v>
      </c>
      <c r="M66" s="3" t="s">
        <v>17</v>
      </c>
      <c r="R66" s="56" t="s">
        <v>148</v>
      </c>
      <c r="S66" s="8"/>
      <c r="U66" s="56" t="s">
        <v>149</v>
      </c>
      <c r="V66" s="8"/>
    </row>
    <row r="67" spans="11:33" x14ac:dyDescent="0.3">
      <c r="K67" s="20" t="s">
        <v>112</v>
      </c>
      <c r="L67" s="10">
        <f>(N11/O6)*(100-L63)*F38</f>
        <v>41.250000000196962</v>
      </c>
      <c r="M67" s="3" t="s">
        <v>17</v>
      </c>
      <c r="R67" s="57"/>
      <c r="U67" s="57"/>
    </row>
    <row r="68" spans="11:33" x14ac:dyDescent="0.3">
      <c r="K68" s="20" t="s">
        <v>174</v>
      </c>
      <c r="L68" s="10">
        <f>(N9/O6)*(100-L64)*F36</f>
        <v>0</v>
      </c>
      <c r="M68" s="3" t="s">
        <v>17</v>
      </c>
      <c r="R68" s="19" t="s">
        <v>81</v>
      </c>
      <c r="S68" s="14" t="s">
        <v>82</v>
      </c>
      <c r="U68" s="19" t="s">
        <v>81</v>
      </c>
      <c r="V68" s="14" t="s">
        <v>82</v>
      </c>
      <c r="Y68" s="56" t="s">
        <v>148</v>
      </c>
      <c r="AD68" s="56" t="s">
        <v>149</v>
      </c>
    </row>
    <row r="69" spans="11:33" x14ac:dyDescent="0.3">
      <c r="K69" s="20" t="s">
        <v>175</v>
      </c>
      <c r="L69" s="10">
        <f>(N10/O6)*(100-L65)*F37</f>
        <v>0</v>
      </c>
      <c r="M69" s="3" t="s">
        <v>17</v>
      </c>
      <c r="R69" s="1" t="s">
        <v>73</v>
      </c>
      <c r="S69" s="10">
        <f>L38*O15*L37</f>
        <v>566946.57477427204</v>
      </c>
      <c r="U69" s="1" t="s">
        <v>75</v>
      </c>
      <c r="V69" s="10">
        <f>SUM($T$43+$S$52)*$L$61</f>
        <v>363031.69423384371</v>
      </c>
      <c r="Y69" s="57"/>
      <c r="AD69" s="57"/>
    </row>
    <row r="70" spans="11:33" ht="17.25" thickBot="1" x14ac:dyDescent="0.35">
      <c r="R70" s="1" t="s">
        <v>150</v>
      </c>
      <c r="S70" s="10">
        <f>L47*O8/1000</f>
        <v>269982.08977918467</v>
      </c>
      <c r="U70" s="27" t="s">
        <v>88</v>
      </c>
      <c r="V70" s="10">
        <f>SUM($T$43+$S$52)*$L$61</f>
        <v>363031.69423384371</v>
      </c>
      <c r="Y70" s="19" t="s">
        <v>81</v>
      </c>
      <c r="Z70" s="19" t="s">
        <v>155</v>
      </c>
      <c r="AA70" s="19" t="s">
        <v>154</v>
      </c>
      <c r="AB70" s="19" t="s">
        <v>153</v>
      </c>
      <c r="AD70" s="19" t="s">
        <v>81</v>
      </c>
      <c r="AE70" s="19" t="s">
        <v>155</v>
      </c>
      <c r="AF70" s="19" t="s">
        <v>154</v>
      </c>
      <c r="AG70" s="19" t="s">
        <v>153</v>
      </c>
    </row>
    <row r="71" spans="11:33" ht="18" thickTop="1" thickBot="1" x14ac:dyDescent="0.35">
      <c r="R71" s="1" t="s">
        <v>74</v>
      </c>
      <c r="S71" s="22">
        <f>L40*O8/1000</f>
        <v>45552</v>
      </c>
      <c r="U71" s="23" t="s">
        <v>90</v>
      </c>
      <c r="V71" s="17">
        <f>SUM(V69:V70)</f>
        <v>726063.38846768741</v>
      </c>
      <c r="Y71" s="1" t="s">
        <v>73</v>
      </c>
      <c r="Z71" s="10">
        <f>S69</f>
        <v>566946.57477427204</v>
      </c>
      <c r="AA71" s="28">
        <f t="shared" ref="AA71:AA73" si="19">Z71*5</f>
        <v>2834732.87387136</v>
      </c>
      <c r="AB71" s="28">
        <f>Z71*10</f>
        <v>5669465.7477427199</v>
      </c>
      <c r="AD71" s="1" t="s">
        <v>75</v>
      </c>
      <c r="AE71" s="10">
        <f>V69</f>
        <v>363031.69423384371</v>
      </c>
      <c r="AF71" s="28">
        <f t="shared" ref="AF71:AF72" si="20">AE71*5</f>
        <v>1815158.4711692184</v>
      </c>
      <c r="AG71" s="28">
        <f>AE71*10</f>
        <v>3630316.9423384368</v>
      </c>
    </row>
    <row r="72" spans="11:33" ht="18" thickTop="1" thickBot="1" x14ac:dyDescent="0.35">
      <c r="R72" s="23" t="s">
        <v>90</v>
      </c>
      <c r="S72" s="17">
        <f>SUM(S69:S71)</f>
        <v>882480.66455345671</v>
      </c>
      <c r="Y72" s="1" t="s">
        <v>150</v>
      </c>
      <c r="Z72" s="10">
        <f>S70</f>
        <v>269982.08977918467</v>
      </c>
      <c r="AA72" s="28">
        <f t="shared" si="19"/>
        <v>1349910.4488959233</v>
      </c>
      <c r="AB72" s="28">
        <f>Z72*10</f>
        <v>2699820.8977918467</v>
      </c>
      <c r="AD72" s="27" t="s">
        <v>88</v>
      </c>
      <c r="AE72" s="10">
        <f>V70</f>
        <v>363031.69423384371</v>
      </c>
      <c r="AF72" s="28">
        <f t="shared" si="20"/>
        <v>1815158.4711692184</v>
      </c>
      <c r="AG72" s="28">
        <f>AE72*10</f>
        <v>3630316.9423384368</v>
      </c>
    </row>
    <row r="73" spans="11:33" ht="16.5" customHeight="1" thickTop="1" thickBot="1" x14ac:dyDescent="0.35">
      <c r="T73" s="8"/>
      <c r="Y73" s="1" t="s">
        <v>74</v>
      </c>
      <c r="Z73" s="10">
        <f>S71</f>
        <v>45552</v>
      </c>
      <c r="AA73" s="28">
        <f t="shared" si="19"/>
        <v>227760</v>
      </c>
      <c r="AB73" s="28">
        <f>Z73*10</f>
        <v>455520</v>
      </c>
      <c r="AD73" s="23" t="s">
        <v>90</v>
      </c>
      <c r="AE73" s="17">
        <f>SUM(AE71:AE72)</f>
        <v>726063.38846768741</v>
      </c>
      <c r="AF73" s="17">
        <f>SUM(AF71:AF72)</f>
        <v>3630316.9423384368</v>
      </c>
      <c r="AG73" s="17">
        <f>SUM(AG71:AG72)</f>
        <v>7260633.8846768737</v>
      </c>
    </row>
    <row r="74" spans="11:33" ht="16.5" customHeight="1" thickTop="1" x14ac:dyDescent="0.3">
      <c r="Y74" s="23" t="s">
        <v>90</v>
      </c>
      <c r="Z74" s="17">
        <f>SUM(Z71:Z73)</f>
        <v>882480.66455345671</v>
      </c>
      <c r="AA74" s="17">
        <f>SUM(AA71:AA73)</f>
        <v>4412403.3227672838</v>
      </c>
      <c r="AB74" s="17">
        <f>SUM(AB71:AB73)</f>
        <v>8824806.6455345675</v>
      </c>
    </row>
    <row r="75" spans="11:33" ht="16.899999999999999" customHeight="1" x14ac:dyDescent="0.3">
      <c r="R75" s="56" t="s">
        <v>151</v>
      </c>
      <c r="U75" s="56" t="s">
        <v>152</v>
      </c>
    </row>
    <row r="76" spans="11:33" ht="16.899999999999999" customHeight="1" x14ac:dyDescent="0.3">
      <c r="R76" s="57"/>
      <c r="U76" s="57"/>
    </row>
    <row r="77" spans="11:33" x14ac:dyDescent="0.3">
      <c r="R77" s="19" t="s">
        <v>81</v>
      </c>
      <c r="S77" s="14" t="s">
        <v>82</v>
      </c>
      <c r="U77" s="19" t="s">
        <v>95</v>
      </c>
      <c r="V77" s="10">
        <f>T43+S52+V50</f>
        <v>3755855.8127652528</v>
      </c>
      <c r="Y77" s="56" t="s">
        <v>151</v>
      </c>
      <c r="AD77" s="56" t="s">
        <v>101</v>
      </c>
    </row>
    <row r="78" spans="11:33" x14ac:dyDescent="0.3">
      <c r="R78" s="6" t="s">
        <v>9</v>
      </c>
      <c r="S78" s="28">
        <f>O13*F40</f>
        <v>2845400.2137599997</v>
      </c>
      <c r="U78" s="19" t="s">
        <v>96</v>
      </c>
      <c r="V78" s="10">
        <f>S63+V59+S72+V71</f>
        <v>3510410.2582975328</v>
      </c>
      <c r="Y78" s="57"/>
      <c r="AD78" s="57"/>
      <c r="AE78" s="19" t="s">
        <v>155</v>
      </c>
      <c r="AF78" s="19" t="s">
        <v>154</v>
      </c>
      <c r="AG78" s="19" t="s">
        <v>153</v>
      </c>
    </row>
    <row r="79" spans="11:33" ht="17.25" thickBot="1" x14ac:dyDescent="0.35">
      <c r="R79" s="1" t="s">
        <v>10</v>
      </c>
      <c r="S79" s="28">
        <f>O14*F41</f>
        <v>1192249.1750399999</v>
      </c>
      <c r="U79" s="24" t="s">
        <v>97</v>
      </c>
      <c r="V79" s="22">
        <f>S81</f>
        <v>5529579.7056</v>
      </c>
      <c r="Y79" s="19" t="s">
        <v>81</v>
      </c>
      <c r="Z79" s="19" t="s">
        <v>155</v>
      </c>
      <c r="AA79" s="19" t="s">
        <v>154</v>
      </c>
      <c r="AB79" s="19" t="s">
        <v>153</v>
      </c>
      <c r="AD79" s="19" t="s">
        <v>95</v>
      </c>
      <c r="AE79" s="10">
        <f>Z43+Z53+AE51</f>
        <v>3755855.8127652528</v>
      </c>
      <c r="AF79" s="10">
        <f>AA43+AA53+AF51</f>
        <v>10361230.947966196</v>
      </c>
      <c r="AG79" s="10">
        <f>AB43+AB53+AG51</f>
        <v>16211087.496765224</v>
      </c>
    </row>
    <row r="80" spans="11:33" ht="18" thickTop="1" thickBot="1" x14ac:dyDescent="0.35">
      <c r="R80" s="27" t="s">
        <v>11</v>
      </c>
      <c r="S80" s="22">
        <f>O15*F42</f>
        <v>1491930.3168000001</v>
      </c>
      <c r="U80" s="23" t="s">
        <v>98</v>
      </c>
      <c r="V80" s="17">
        <f>V79-V77-V78</f>
        <v>-1736686.3654627856</v>
      </c>
      <c r="Y80" s="6" t="s">
        <v>9</v>
      </c>
      <c r="Z80" s="28">
        <f>S78</f>
        <v>2845400.2137599997</v>
      </c>
      <c r="AA80" s="28">
        <f>Z80*5</f>
        <v>14227001.068799999</v>
      </c>
      <c r="AB80" s="28">
        <f>Z80*10</f>
        <v>28454002.137599997</v>
      </c>
      <c r="AD80" s="19" t="s">
        <v>96</v>
      </c>
      <c r="AE80" s="10">
        <f>Z65+AE61+Z74+AE73</f>
        <v>3510410.2582975328</v>
      </c>
      <c r="AF80" s="10">
        <f>AA65+AF61+AA74+AF73</f>
        <v>17552051.291487664</v>
      </c>
      <c r="AG80" s="10">
        <f>AB65+AG61+AB74+AG73</f>
        <v>33352102.582975324</v>
      </c>
    </row>
    <row r="81" spans="18:33" ht="18" thickTop="1" thickBot="1" x14ac:dyDescent="0.35">
      <c r="R81" s="23" t="s">
        <v>90</v>
      </c>
      <c r="S81" s="17">
        <f>SUM(S78:S80)</f>
        <v>5529579.7056</v>
      </c>
      <c r="Y81" s="1" t="s">
        <v>10</v>
      </c>
      <c r="Z81" s="28">
        <f>S79</f>
        <v>1192249.1750399999</v>
      </c>
      <c r="AA81" s="28">
        <f>Z81*5</f>
        <v>5961245.8751999997</v>
      </c>
      <c r="AB81" s="28">
        <f>Z81*10</f>
        <v>11922491.750399999</v>
      </c>
      <c r="AD81" s="24" t="s">
        <v>97</v>
      </c>
      <c r="AE81" s="22">
        <f>Z83</f>
        <v>5529579.7056</v>
      </c>
      <c r="AF81" s="22">
        <f>AA83</f>
        <v>27647898.527999997</v>
      </c>
      <c r="AG81" s="22">
        <f>AB83</f>
        <v>55295797.055999994</v>
      </c>
    </row>
    <row r="82" spans="18:33" ht="16.5" customHeight="1" thickTop="1" thickBot="1" x14ac:dyDescent="0.35">
      <c r="Y82" s="27" t="s">
        <v>11</v>
      </c>
      <c r="Z82" s="39">
        <f>S80</f>
        <v>1491930.3168000001</v>
      </c>
      <c r="AA82" s="39">
        <f>Z82*5</f>
        <v>7459651.5840000007</v>
      </c>
      <c r="AB82" s="39">
        <f>Z82*10</f>
        <v>14919303.168000001</v>
      </c>
      <c r="AD82" s="23" t="s">
        <v>98</v>
      </c>
      <c r="AE82" s="17">
        <f>AE81-AE79-AE80</f>
        <v>-1736686.3654627856</v>
      </c>
      <c r="AF82" s="17">
        <f>AF81-AF79-AF80</f>
        <v>-265383.71145386249</v>
      </c>
      <c r="AG82" s="17">
        <f>AG81-AG79-AG80</f>
        <v>5732606.9762594439</v>
      </c>
    </row>
    <row r="83" spans="18:33" ht="16.5" customHeight="1" thickTop="1" x14ac:dyDescent="0.3">
      <c r="Y83" s="23" t="s">
        <v>90</v>
      </c>
      <c r="Z83" s="17">
        <f>SUM(Z80:Z82)</f>
        <v>5529579.7056</v>
      </c>
      <c r="AA83" s="17">
        <f>SUM(AA80:AA82)</f>
        <v>27647898.527999997</v>
      </c>
      <c r="AB83" s="17">
        <f>SUM(AB80:AB82)</f>
        <v>55295797.055999994</v>
      </c>
    </row>
    <row r="86" spans="18:33" x14ac:dyDescent="0.3">
      <c r="Y86" s="56" t="s">
        <v>110</v>
      </c>
      <c r="AD86" s="54" t="s">
        <v>186</v>
      </c>
      <c r="AE86" s="54"/>
      <c r="AF86" s="54"/>
    </row>
    <row r="87" spans="18:33" x14ac:dyDescent="0.3">
      <c r="Y87" s="57"/>
      <c r="Z87" s="24" t="s">
        <v>106</v>
      </c>
      <c r="AA87" s="24" t="s">
        <v>107</v>
      </c>
      <c r="AB87" s="24" t="s">
        <v>108</v>
      </c>
      <c r="AD87" s="19" t="s">
        <v>189</v>
      </c>
      <c r="AE87" s="3">
        <v>0.96</v>
      </c>
      <c r="AF87" s="26" t="s">
        <v>156</v>
      </c>
    </row>
    <row r="88" spans="18:33" x14ac:dyDescent="0.3">
      <c r="Y88" s="19" t="s">
        <v>109</v>
      </c>
      <c r="Z88" s="13">
        <f>(AE79+AE80-SUM(Z81:Z82))/$O$13</f>
        <v>1.5137277925405797</v>
      </c>
      <c r="AA88" s="13">
        <f>(AF79+AF80-SUM(AA81:AA82))/($O$13*5)</f>
        <v>0.95753431292795066</v>
      </c>
      <c r="AB88" s="13">
        <f>(AG79+AG80-SUM(AB81:AB82))/($O$13*10)</f>
        <v>0.75061888828063461</v>
      </c>
      <c r="AD88" s="19" t="s">
        <v>162</v>
      </c>
      <c r="AE88" s="3">
        <v>1.05</v>
      </c>
      <c r="AF88" s="26" t="s">
        <v>156</v>
      </c>
    </row>
    <row r="89" spans="18:33" x14ac:dyDescent="0.3">
      <c r="AD89" s="54" t="s">
        <v>161</v>
      </c>
      <c r="AE89" s="3">
        <v>1.93</v>
      </c>
      <c r="AF89" s="26" t="s">
        <v>160</v>
      </c>
    </row>
    <row r="90" spans="18:33" x14ac:dyDescent="0.3">
      <c r="AD90" s="54"/>
      <c r="AE90" s="3">
        <v>2.1800000000000002</v>
      </c>
      <c r="AF90" s="26" t="s">
        <v>159</v>
      </c>
    </row>
    <row r="91" spans="18:33" ht="16.5" customHeight="1" x14ac:dyDescent="0.3">
      <c r="Y91" s="56" t="s">
        <v>120</v>
      </c>
      <c r="AD91" s="54"/>
      <c r="AE91" s="3">
        <v>2.0099999999999998</v>
      </c>
      <c r="AF91" s="26" t="s">
        <v>156</v>
      </c>
    </row>
    <row r="92" spans="18:33" ht="16.5" customHeight="1" x14ac:dyDescent="0.3">
      <c r="Y92" s="57"/>
      <c r="Z92" s="19" t="s">
        <v>119</v>
      </c>
      <c r="AA92" s="19" t="s">
        <v>117</v>
      </c>
      <c r="AD92" s="19" t="s">
        <v>158</v>
      </c>
      <c r="AE92" s="3">
        <v>0.87</v>
      </c>
      <c r="AF92" s="26" t="s">
        <v>156</v>
      </c>
    </row>
    <row r="93" spans="18:33" x14ac:dyDescent="0.3">
      <c r="Y93" s="19" t="s">
        <v>113</v>
      </c>
      <c r="Z93" s="10">
        <f>SUM(AB43,AG51)</f>
        <v>15375146.766765224</v>
      </c>
      <c r="AA93" s="10">
        <f>Z93/$Z$97*100</f>
        <v>31.021301780673653</v>
      </c>
      <c r="AD93" s="19" t="s">
        <v>157</v>
      </c>
      <c r="AE93" s="3">
        <v>0.54</v>
      </c>
      <c r="AF93" s="26" t="s">
        <v>156</v>
      </c>
    </row>
    <row r="94" spans="18:33" x14ac:dyDescent="0.3">
      <c r="Y94" s="19" t="s">
        <v>115</v>
      </c>
      <c r="Z94" s="10">
        <f>SUM(AB53,AB65)</f>
        <v>5849503.1748138033</v>
      </c>
      <c r="AA94" s="10">
        <f>Z94/$Z$97*100</f>
        <v>11.802111941145704</v>
      </c>
      <c r="AD94" s="19" t="s">
        <v>190</v>
      </c>
      <c r="AE94" s="3">
        <v>1.1399999999999999</v>
      </c>
      <c r="AF94" s="3" t="s">
        <v>191</v>
      </c>
    </row>
    <row r="95" spans="18:33" x14ac:dyDescent="0.3">
      <c r="Y95" s="19" t="s">
        <v>116</v>
      </c>
      <c r="Z95" s="10">
        <f>SUM(AB74)</f>
        <v>8824806.6455345675</v>
      </c>
      <c r="AA95" s="10">
        <f>Z95/$Z$97*100</f>
        <v>17.805162725273803</v>
      </c>
    </row>
    <row r="96" spans="18:33" ht="17.25" thickBot="1" x14ac:dyDescent="0.35">
      <c r="Y96" s="24" t="s">
        <v>114</v>
      </c>
      <c r="Z96" s="22">
        <f>SUM(AG61, AG73)</f>
        <v>19513733.492626954</v>
      </c>
      <c r="AA96" s="22">
        <f>Z96/$Z$97*100</f>
        <v>39.371423552906833</v>
      </c>
    </row>
    <row r="97" spans="25:29" ht="17.25" thickTop="1" x14ac:dyDescent="0.3">
      <c r="Y97" s="23" t="s">
        <v>118</v>
      </c>
      <c r="Z97" s="31">
        <f>SUM(Z93:Z96)</f>
        <v>49563190.079740554</v>
      </c>
      <c r="AA97" s="31">
        <f>Z97/$Z$97*100</f>
        <v>100</v>
      </c>
    </row>
    <row r="100" spans="25:29" x14ac:dyDescent="0.3">
      <c r="Y100" s="56" t="s">
        <v>192</v>
      </c>
      <c r="AB100" s="56" t="s">
        <v>193</v>
      </c>
    </row>
    <row r="101" spans="25:29" x14ac:dyDescent="0.3">
      <c r="Y101" s="57"/>
      <c r="Z101" s="19" t="s">
        <v>117</v>
      </c>
      <c r="AB101" s="57"/>
      <c r="AC101" s="19" t="s">
        <v>117</v>
      </c>
    </row>
    <row r="102" spans="25:29" x14ac:dyDescent="0.3">
      <c r="Y102" s="19" t="s">
        <v>73</v>
      </c>
      <c r="Z102" s="10">
        <f>AB71/Z97*100</f>
        <v>11.438863678107294</v>
      </c>
      <c r="AB102" s="19" t="s">
        <v>9</v>
      </c>
      <c r="AC102" s="10">
        <f>AB80/$AB$83*100</f>
        <v>51.457802676727184</v>
      </c>
    </row>
    <row r="103" spans="25:29" x14ac:dyDescent="0.3">
      <c r="Y103" s="19" t="s">
        <v>150</v>
      </c>
      <c r="Z103" s="10">
        <f>AB72/Z97*100</f>
        <v>5.4472298765438536</v>
      </c>
      <c r="AB103" s="19" t="s">
        <v>10</v>
      </c>
      <c r="AC103" s="10">
        <f t="shared" ref="AC103:AC104" si="21">AB81/$AB$83*100</f>
        <v>21.561298299626053</v>
      </c>
    </row>
    <row r="104" spans="25:29" x14ac:dyDescent="0.3">
      <c r="Y104" s="19" t="s">
        <v>6</v>
      </c>
      <c r="Z104" s="10">
        <f>AB50/Z97*100</f>
        <v>1.8413362790645805E-2</v>
      </c>
      <c r="AB104" s="19" t="s">
        <v>11</v>
      </c>
      <c r="AC104" s="10">
        <f t="shared" si="21"/>
        <v>26.980899023646771</v>
      </c>
    </row>
    <row r="105" spans="25:29" x14ac:dyDescent="0.3">
      <c r="Y105" s="19" t="s">
        <v>7</v>
      </c>
      <c r="Z105" s="10">
        <f>(AB52+AB61)/Z97*100</f>
        <v>7.4970961191876002</v>
      </c>
    </row>
    <row r="108" spans="25:29" x14ac:dyDescent="0.3">
      <c r="Y108" s="56" t="s">
        <v>195</v>
      </c>
    </row>
    <row r="109" spans="25:29" x14ac:dyDescent="0.3">
      <c r="Y109" s="74"/>
      <c r="Z109" s="19" t="s">
        <v>180</v>
      </c>
      <c r="AA109" s="19" t="s">
        <v>194</v>
      </c>
    </row>
    <row r="110" spans="25:29" ht="16.5" customHeight="1" x14ac:dyDescent="0.3">
      <c r="Y110" s="56" t="s">
        <v>102</v>
      </c>
      <c r="Z110" s="36">
        <v>99.998999999999995</v>
      </c>
      <c r="AA110" s="3">
        <v>0.75</v>
      </c>
    </row>
    <row r="111" spans="25:29" ht="16.5" customHeight="1" x14ac:dyDescent="0.3">
      <c r="Y111" s="75"/>
      <c r="Z111" s="36">
        <v>99.99</v>
      </c>
      <c r="AA111" s="3">
        <v>1.61</v>
      </c>
    </row>
    <row r="112" spans="25:29" ht="16.5" customHeight="1" x14ac:dyDescent="0.3">
      <c r="Y112" s="75"/>
      <c r="Z112" s="36">
        <v>99.9</v>
      </c>
      <c r="AA112" s="3">
        <v>10.210000000000001</v>
      </c>
    </row>
    <row r="113" spans="25:27" ht="16.5" customHeight="1" x14ac:dyDescent="0.3">
      <c r="Y113" s="57"/>
      <c r="Z113" s="36">
        <v>99</v>
      </c>
      <c r="AA113" s="3">
        <v>96.15</v>
      </c>
    </row>
    <row r="114" spans="25:27" ht="16.5" customHeight="1" x14ac:dyDescent="0.3">
      <c r="Y114" s="73" t="s">
        <v>196</v>
      </c>
      <c r="Z114" s="3">
        <v>8</v>
      </c>
      <c r="AA114" s="3">
        <v>0.75</v>
      </c>
    </row>
    <row r="115" spans="25:27" ht="16.5" customHeight="1" x14ac:dyDescent="0.3">
      <c r="Y115" s="73"/>
      <c r="Z115" s="3">
        <v>6</v>
      </c>
      <c r="AA115" s="3">
        <v>0.87</v>
      </c>
    </row>
    <row r="116" spans="25:27" ht="16.5" customHeight="1" x14ac:dyDescent="0.3">
      <c r="Y116" s="73"/>
      <c r="Z116" s="3">
        <v>4</v>
      </c>
      <c r="AA116" s="3">
        <v>1</v>
      </c>
    </row>
    <row r="117" spans="25:27" ht="16.5" customHeight="1" x14ac:dyDescent="0.3">
      <c r="Y117" s="73"/>
      <c r="Z117" s="3">
        <v>2</v>
      </c>
      <c r="AA117" s="3">
        <v>1.1200000000000001</v>
      </c>
    </row>
  </sheetData>
  <mergeCells count="58">
    <mergeCell ref="Y114:Y117"/>
    <mergeCell ref="Y100:Y101"/>
    <mergeCell ref="AB100:AB101"/>
    <mergeCell ref="Y108:Y109"/>
    <mergeCell ref="Y110:Y113"/>
    <mergeCell ref="Y91:Y92"/>
    <mergeCell ref="R75:R76"/>
    <mergeCell ref="U75:U76"/>
    <mergeCell ref="R38:S38"/>
    <mergeCell ref="R39:V39"/>
    <mergeCell ref="R41:S41"/>
    <mergeCell ref="R42:S42"/>
    <mergeCell ref="R43:S43"/>
    <mergeCell ref="T43:V43"/>
    <mergeCell ref="Y86:Y87"/>
    <mergeCell ref="Y57:Y58"/>
    <mergeCell ref="R66:R67"/>
    <mergeCell ref="U66:U67"/>
    <mergeCell ref="Y47:Y48"/>
    <mergeCell ref="R46:R47"/>
    <mergeCell ref="R55:R56"/>
    <mergeCell ref="R29:V29"/>
    <mergeCell ref="R19:S19"/>
    <mergeCell ref="R20:V20"/>
    <mergeCell ref="K3:L3"/>
    <mergeCell ref="M3:N3"/>
    <mergeCell ref="K8:K12"/>
    <mergeCell ref="K13:K15"/>
    <mergeCell ref="R7:R8"/>
    <mergeCell ref="R9:R10"/>
    <mergeCell ref="R11:V11"/>
    <mergeCell ref="D13:E13"/>
    <mergeCell ref="S9:S10"/>
    <mergeCell ref="T9:U9"/>
    <mergeCell ref="R28:S28"/>
    <mergeCell ref="Y7:Y8"/>
    <mergeCell ref="Y9:Y10"/>
    <mergeCell ref="Y11:AB11"/>
    <mergeCell ref="Y20:AB20"/>
    <mergeCell ref="Y39:AB39"/>
    <mergeCell ref="Y35:AB35"/>
    <mergeCell ref="Y29:AB29"/>
    <mergeCell ref="D40:D42"/>
    <mergeCell ref="D34:D39"/>
    <mergeCell ref="E32:H32"/>
    <mergeCell ref="AD86:AF86"/>
    <mergeCell ref="AD89:AD91"/>
    <mergeCell ref="Q53:Q56"/>
    <mergeCell ref="Y68:Y69"/>
    <mergeCell ref="AD68:AD69"/>
    <mergeCell ref="Y77:Y78"/>
    <mergeCell ref="R35:V35"/>
    <mergeCell ref="AD77:AD78"/>
    <mergeCell ref="AD47:AD48"/>
    <mergeCell ref="U55:U56"/>
    <mergeCell ref="U46:U47"/>
    <mergeCell ref="AD57:AD58"/>
    <mergeCell ref="R34:S3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5A90-0785-4F48-A72F-DB3870ABFA16}">
  <dimension ref="B2:F132"/>
  <sheetViews>
    <sheetView tabSelected="1" topLeftCell="A7" workbookViewId="0">
      <selection activeCell="M19" sqref="M19"/>
    </sheetView>
  </sheetViews>
  <sheetFormatPr defaultRowHeight="16.5" x14ac:dyDescent="0.3"/>
  <cols>
    <col min="1" max="1" width="2.5" customWidth="1"/>
    <col min="2" max="2" width="48.375" customWidth="1"/>
    <col min="3" max="6" width="23.375" customWidth="1"/>
  </cols>
  <sheetData>
    <row r="2" spans="2:6" ht="20.25" x14ac:dyDescent="0.3">
      <c r="B2" s="76" t="s">
        <v>197</v>
      </c>
    </row>
    <row r="3" spans="2:6" x14ac:dyDescent="0.3">
      <c r="B3" s="77" t="s">
        <v>198</v>
      </c>
    </row>
    <row r="5" spans="2:6" ht="17.25" x14ac:dyDescent="0.3">
      <c r="B5" s="78" t="s">
        <v>199</v>
      </c>
      <c r="C5" s="79"/>
      <c r="D5" s="79"/>
      <c r="E5" s="79"/>
      <c r="F5" s="79"/>
    </row>
    <row r="7" spans="2:6" x14ac:dyDescent="0.3">
      <c r="B7" s="88" t="s">
        <v>200</v>
      </c>
      <c r="C7" s="85" t="s">
        <v>201</v>
      </c>
      <c r="D7" s="85" t="s">
        <v>202</v>
      </c>
      <c r="E7" s="93" t="s">
        <v>203</v>
      </c>
    </row>
    <row r="8" spans="2:6" x14ac:dyDescent="0.3">
      <c r="B8" s="89" t="s">
        <v>204</v>
      </c>
      <c r="C8" s="81">
        <f>'0.1g PET, 2H'!M8</f>
        <v>0.1</v>
      </c>
      <c r="D8" s="82">
        <f>'0.1g PET, 2H'!N8</f>
        <v>1000</v>
      </c>
      <c r="E8" s="94">
        <f>'0.1g PET, 2H'!O8</f>
        <v>3504000</v>
      </c>
    </row>
    <row r="9" spans="2:6" x14ac:dyDescent="0.3">
      <c r="B9" s="90" t="s">
        <v>205</v>
      </c>
      <c r="C9" s="81">
        <f>'0.1g PET, 2H'!M9</f>
        <v>9.1262500000000006</v>
      </c>
      <c r="D9" s="82">
        <f>'0.1g PET, 2H'!N9</f>
        <v>91262.5</v>
      </c>
      <c r="E9" s="94">
        <f>'0.1g PET, 2H'!O9</f>
        <v>91262.5</v>
      </c>
    </row>
    <row r="10" spans="2:6" x14ac:dyDescent="0.3">
      <c r="B10" s="90" t="s">
        <v>206</v>
      </c>
      <c r="C10" s="81">
        <f>'0.1g PET, 2H'!M10</f>
        <v>0.4904</v>
      </c>
      <c r="D10" s="82">
        <f>'0.1g PET, 2H'!N10</f>
        <v>4904</v>
      </c>
      <c r="E10" s="94">
        <f>'0.1g PET, 2H'!O10</f>
        <v>4904</v>
      </c>
    </row>
    <row r="11" spans="2:6" x14ac:dyDescent="0.3">
      <c r="B11" s="90" t="s">
        <v>207</v>
      </c>
      <c r="C11" s="81">
        <f>'0.1g PET, 2H'!M11</f>
        <v>5.5</v>
      </c>
      <c r="D11" s="82">
        <f>'0.1g PET, 2H'!N11</f>
        <v>55000</v>
      </c>
      <c r="E11" s="94">
        <f>'0.1g PET, 2H'!O11</f>
        <v>247720.00000092023</v>
      </c>
    </row>
    <row r="12" spans="2:6" x14ac:dyDescent="0.3">
      <c r="B12" s="90" t="s">
        <v>208</v>
      </c>
      <c r="C12" s="81">
        <f>'0.1g PET, 2H'!M12</f>
        <v>4.8096000000000005</v>
      </c>
      <c r="D12" s="82">
        <f>'0.1g PET, 2H'!N12</f>
        <v>48096.000000000007</v>
      </c>
      <c r="E12" s="94">
        <f>'0.1g PET, 2H'!O12</f>
        <v>168528384.00000003</v>
      </c>
    </row>
    <row r="13" spans="2:6" x14ac:dyDescent="0.3">
      <c r="B13" s="91" t="s">
        <v>209</v>
      </c>
      <c r="C13" s="83">
        <f>'0.1g PET, 2H'!M13</f>
        <v>8.6387599999999995E-2</v>
      </c>
      <c r="D13" s="84">
        <f>'0.1g PET, 2H'!N13</f>
        <v>863.87599999999998</v>
      </c>
      <c r="E13" s="95">
        <f>'0.1g PET, 2H'!O13</f>
        <v>3027021.5039999997</v>
      </c>
    </row>
    <row r="14" spans="2:6" x14ac:dyDescent="0.3">
      <c r="B14" s="91" t="s">
        <v>210</v>
      </c>
      <c r="C14" s="83">
        <f>'0.1g PET, 2H'!M14</f>
        <v>4.0506400000000005E-2</v>
      </c>
      <c r="D14" s="84">
        <f>'0.1g PET, 2H'!N14</f>
        <v>405.06400000000002</v>
      </c>
      <c r="E14" s="95">
        <f>'0.1g PET, 2H'!O14</f>
        <v>1419344.2560000001</v>
      </c>
    </row>
    <row r="15" spans="2:6" x14ac:dyDescent="0.3">
      <c r="B15" s="92" t="s">
        <v>211</v>
      </c>
      <c r="C15" s="86">
        <f>'0.1g PET, 2H'!M15</f>
        <v>5.3222399999999998E-3</v>
      </c>
      <c r="D15" s="87">
        <f>'0.1g PET, 2H'!N15</f>
        <v>53.2224</v>
      </c>
      <c r="E15" s="96">
        <f>'0.1g PET, 2H'!O15</f>
        <v>186491.28960000002</v>
      </c>
    </row>
    <row r="17" spans="2:6" ht="17.25" x14ac:dyDescent="0.3">
      <c r="B17" s="78" t="s">
        <v>212</v>
      </c>
      <c r="C17" s="79"/>
      <c r="D17" s="79"/>
      <c r="E17" s="79"/>
      <c r="F17" s="79"/>
    </row>
    <row r="19" spans="2:6" x14ac:dyDescent="0.3">
      <c r="B19" s="88" t="s">
        <v>200</v>
      </c>
      <c r="C19" s="85" t="s">
        <v>213</v>
      </c>
      <c r="D19" s="108" t="s">
        <v>214</v>
      </c>
    </row>
    <row r="20" spans="2:6" x14ac:dyDescent="0.3">
      <c r="B20" s="90" t="s">
        <v>215</v>
      </c>
      <c r="C20" s="97">
        <f>'0.1g PET, 2H'!O6</f>
        <v>2</v>
      </c>
      <c r="D20" s="109"/>
    </row>
    <row r="21" spans="2:6" x14ac:dyDescent="0.3">
      <c r="B21" s="90" t="s">
        <v>216</v>
      </c>
      <c r="C21" s="98">
        <f>'0.1g PET, 2H'!L56</f>
        <v>0.1</v>
      </c>
      <c r="D21" s="109" t="str">
        <f>'0.1g PET, 2H'!M56</f>
        <v>Joule 5, 2479-2503 (2021)</v>
      </c>
    </row>
    <row r="22" spans="2:6" x14ac:dyDescent="0.3">
      <c r="B22" s="90" t="s">
        <v>217</v>
      </c>
      <c r="C22" s="99">
        <f>'0.1g PET, 2H'!L57</f>
        <v>30</v>
      </c>
      <c r="D22" s="109" t="str">
        <f>'0.1g PET, 2H'!M57</f>
        <v>Joule 5, 2479-2503 (2021)</v>
      </c>
    </row>
    <row r="23" spans="2:6" x14ac:dyDescent="0.3">
      <c r="B23" s="90" t="s">
        <v>218</v>
      </c>
      <c r="C23" s="100">
        <f>'0.1g PET, 2H'!L58</f>
        <v>0.1060792482526339</v>
      </c>
      <c r="D23" s="109"/>
    </row>
    <row r="24" spans="2:6" x14ac:dyDescent="0.3">
      <c r="B24" s="90" t="s">
        <v>219</v>
      </c>
      <c r="C24" s="98">
        <f>'0.1g PET, 2H'!L59</f>
        <v>0.8</v>
      </c>
      <c r="D24" s="109" t="str">
        <f>'0.1g PET, 2H'!M59</f>
        <v>Nat Commun 12, 4679 (2021)</v>
      </c>
    </row>
    <row r="25" spans="2:6" x14ac:dyDescent="0.3">
      <c r="B25" s="90" t="s">
        <v>220</v>
      </c>
      <c r="C25" s="101">
        <f>'0.1g PET, 2H'!V6</f>
        <v>0.6</v>
      </c>
      <c r="D25" s="109"/>
    </row>
    <row r="26" spans="2:6" x14ac:dyDescent="0.3">
      <c r="B26" s="90" t="s">
        <v>221</v>
      </c>
      <c r="C26" s="102" t="s">
        <v>222</v>
      </c>
      <c r="D26" s="109"/>
    </row>
    <row r="27" spans="2:6" x14ac:dyDescent="0.3">
      <c r="B27" s="90" t="s">
        <v>223</v>
      </c>
      <c r="C27" s="103">
        <f>'0.1g PET, 2H'!L36</f>
        <v>10000</v>
      </c>
      <c r="D27" s="109" t="str">
        <f>'0.1g PET, 2H'!M36</f>
        <v>Nat Commun 12, 4679 (2021)</v>
      </c>
    </row>
    <row r="28" spans="2:6" x14ac:dyDescent="0.3">
      <c r="B28" s="90" t="s">
        <v>224</v>
      </c>
      <c r="C28" s="104">
        <f>'0.1g PET, 2H'!L37</f>
        <v>9.5299999999999996E-2</v>
      </c>
      <c r="D28" s="109" t="str">
        <f>'0.1g PET, 2H'!M37</f>
        <v>Kepco data</v>
      </c>
    </row>
    <row r="29" spans="2:6" x14ac:dyDescent="0.3">
      <c r="B29" s="90" t="s">
        <v>225</v>
      </c>
      <c r="C29" s="105">
        <f>'0.1g PET, 2H'!L63</f>
        <v>99.998999999999995</v>
      </c>
      <c r="D29" s="109"/>
    </row>
    <row r="30" spans="2:6" x14ac:dyDescent="0.3">
      <c r="B30" s="107" t="s">
        <v>226</v>
      </c>
      <c r="C30" s="106">
        <f>'0.1g PET, 2H'!L64</f>
        <v>100</v>
      </c>
      <c r="D30" s="110"/>
    </row>
    <row r="32" spans="2:6" ht="17.25" x14ac:dyDescent="0.3">
      <c r="B32" s="78" t="s">
        <v>227</v>
      </c>
      <c r="C32" s="79"/>
      <c r="D32" s="79"/>
      <c r="E32" s="79"/>
      <c r="F32" s="79"/>
    </row>
    <row r="34" spans="2:6" x14ac:dyDescent="0.3">
      <c r="B34" s="88" t="s">
        <v>228</v>
      </c>
      <c r="C34" s="85" t="s">
        <v>229</v>
      </c>
      <c r="D34" s="85" t="s">
        <v>230</v>
      </c>
      <c r="E34" s="93" t="s">
        <v>231</v>
      </c>
    </row>
    <row r="35" spans="2:6" x14ac:dyDescent="0.3">
      <c r="B35" s="90" t="s">
        <v>232</v>
      </c>
      <c r="C35" s="103">
        <f>'0.1g PET, 2H'!V19</f>
        <v>6879879.5342144445</v>
      </c>
      <c r="D35" s="103">
        <f>'0.1g PET, 2H'!AA19</f>
        <v>18070194.887562677</v>
      </c>
      <c r="E35" s="115">
        <f>'0.1g PET, 2H'!AB19</f>
        <v>27389293.75115025</v>
      </c>
    </row>
    <row r="36" spans="2:6" x14ac:dyDescent="0.3">
      <c r="B36" s="90" t="s">
        <v>233</v>
      </c>
      <c r="C36" s="103">
        <f>'0.1g PET, 2H'!V28</f>
        <v>6661239.9820713531</v>
      </c>
      <c r="D36" s="103">
        <f>'0.1g PET, 2H'!AA28</f>
        <v>17495932.024716459</v>
      </c>
      <c r="E36" s="115">
        <f>'0.1g PET, 2H'!AB28</f>
        <v>26518874.016402554</v>
      </c>
    </row>
    <row r="37" spans="2:6" x14ac:dyDescent="0.3">
      <c r="B37" s="90" t="s">
        <v>234</v>
      </c>
      <c r="C37" s="103">
        <f>'0.1g PET, 2H'!V34</f>
        <v>6864230.5280944603</v>
      </c>
      <c r="D37" s="103">
        <f>'0.1g PET, 2H'!AA34</f>
        <v>18029092.337877251</v>
      </c>
      <c r="E37" s="115">
        <f>'0.1g PET, 2H'!AB34</f>
        <v>27326993.935666241</v>
      </c>
    </row>
    <row r="38" spans="2:6" x14ac:dyDescent="0.3">
      <c r="B38" s="90" t="s">
        <v>235</v>
      </c>
      <c r="C38" s="103">
        <f>'0.1g PET, 2H'!V38</f>
        <v>6342372.4575116122</v>
      </c>
      <c r="D38" s="103">
        <f>'0.1g PET, 2H'!AA38</f>
        <v>16658417.605538899</v>
      </c>
      <c r="E38" s="115">
        <f>'0.1g PET, 2H'!AB38</f>
        <v>25249439.536563791</v>
      </c>
    </row>
    <row r="39" spans="2:6" x14ac:dyDescent="0.3">
      <c r="B39" s="90" t="s">
        <v>236</v>
      </c>
      <c r="C39" s="103">
        <f>'0.1g PET, 2H'!V41</f>
        <v>6686930.6254729675</v>
      </c>
      <c r="D39" s="103">
        <f>'0.1g PET, 2H'!AA41</f>
        <v>17563409.213923823</v>
      </c>
      <c r="E39" s="115">
        <f>'0.1g PET, 2H'!AB41</f>
        <v>26621150.30994571</v>
      </c>
    </row>
    <row r="40" spans="2:6" x14ac:dyDescent="0.3">
      <c r="B40" s="89" t="s">
        <v>237</v>
      </c>
      <c r="C40" s="111">
        <f>'0.1g PET, 2H'!V42</f>
        <v>33434653.127364837</v>
      </c>
      <c r="D40" s="111">
        <f>'0.1g PET, 2H'!AA42</f>
        <v>87817046.069619119</v>
      </c>
      <c r="E40" s="116">
        <f>'0.1g PET, 2H'!AB42</f>
        <v>133105751.54972854</v>
      </c>
    </row>
    <row r="41" spans="2:6" x14ac:dyDescent="0.3">
      <c r="B41" s="114" t="s">
        <v>238</v>
      </c>
      <c r="C41" s="112">
        <f>'0.1g PET, 2H'!Z43</f>
        <v>3546722.869338437</v>
      </c>
      <c r="D41" s="112">
        <f>'0.1g PET, 2H'!AA43</f>
        <v>9315566.2308321148</v>
      </c>
      <c r="E41" s="117">
        <f>'0.1g PET, 2H'!AB43</f>
        <v>14119758.062497064</v>
      </c>
    </row>
    <row r="42" spans="2:6" x14ac:dyDescent="0.3">
      <c r="B42" s="90"/>
      <c r="C42" s="113"/>
      <c r="D42" s="113"/>
      <c r="E42" s="109"/>
    </row>
    <row r="43" spans="2:6" x14ac:dyDescent="0.3">
      <c r="B43" s="89" t="s">
        <v>239</v>
      </c>
      <c r="C43" s="103">
        <f>'0.1g PET, 2H'!Z53</f>
        <v>83594.073000000004</v>
      </c>
      <c r="D43" s="103">
        <f>'0.1g PET, 2H'!AA53</f>
        <v>417970.36499999999</v>
      </c>
      <c r="E43" s="115">
        <f>'0.1g PET, 2H'!AB53</f>
        <v>835940.73</v>
      </c>
    </row>
    <row r="44" spans="2:6" ht="17.25" thickBot="1" x14ac:dyDescent="0.35">
      <c r="B44" s="133" t="s">
        <v>240</v>
      </c>
      <c r="C44" s="123">
        <f>'0.1g PET, 2H'!AE51</f>
        <v>125538.87042681601</v>
      </c>
      <c r="D44" s="123">
        <f>'0.1g PET, 2H'!AF51</f>
        <v>627694.35213408002</v>
      </c>
      <c r="E44" s="134">
        <f>'0.1g PET, 2H'!AG51</f>
        <v>1255388.70426816</v>
      </c>
    </row>
    <row r="45" spans="2:6" ht="17.25" thickBot="1" x14ac:dyDescent="0.35">
      <c r="B45" s="135" t="s">
        <v>241</v>
      </c>
      <c r="C45" s="136">
        <f>C41+C43+C44</f>
        <v>3755855.8127652528</v>
      </c>
      <c r="D45" s="136">
        <f>D41+D43+D44</f>
        <v>10361230.947966196</v>
      </c>
      <c r="E45" s="137">
        <f>E41+E43+E44</f>
        <v>16211087.496765224</v>
      </c>
    </row>
    <row r="46" spans="2:6" ht="17.25" thickTop="1" x14ac:dyDescent="0.3"/>
    <row r="47" spans="2:6" ht="17.25" x14ac:dyDescent="0.3">
      <c r="B47" s="78" t="s">
        <v>242</v>
      </c>
      <c r="C47" s="79"/>
      <c r="D47" s="79"/>
      <c r="E47" s="79"/>
      <c r="F47" s="79"/>
    </row>
    <row r="49" spans="2:5" x14ac:dyDescent="0.3">
      <c r="B49" s="88" t="s">
        <v>243</v>
      </c>
      <c r="C49" s="85" t="s">
        <v>229</v>
      </c>
      <c r="D49" s="85" t="s">
        <v>230</v>
      </c>
      <c r="E49" s="93" t="s">
        <v>231</v>
      </c>
    </row>
    <row r="50" spans="2:5" x14ac:dyDescent="0.3">
      <c r="B50" s="90" t="s">
        <v>244</v>
      </c>
      <c r="C50" s="103">
        <f>'0.1g PET, 2H'!Z60</f>
        <v>350400</v>
      </c>
      <c r="D50" s="103">
        <f>'0.1g PET, 2H'!AA60</f>
        <v>1752000</v>
      </c>
      <c r="E50" s="115">
        <f>'0.1g PET, 2H'!AB60</f>
        <v>1752000</v>
      </c>
    </row>
    <row r="51" spans="2:5" x14ac:dyDescent="0.3">
      <c r="B51" s="90" t="s">
        <v>245</v>
      </c>
      <c r="C51" s="103">
        <f>'0.1g PET, 2H'!Z61</f>
        <v>289080.00000138034</v>
      </c>
      <c r="D51" s="103">
        <f>'0.1g PET, 2H'!AA61</f>
        <v>1445400.0000069016</v>
      </c>
      <c r="E51" s="115">
        <f>'0.1g PET, 2H'!AB61</f>
        <v>2890800.0000138031</v>
      </c>
    </row>
    <row r="52" spans="2:5" x14ac:dyDescent="0.3">
      <c r="B52" s="90" t="s">
        <v>246</v>
      </c>
      <c r="C52" s="103">
        <f>'0.1g PET, 2H'!Z62</f>
        <v>0</v>
      </c>
      <c r="D52" s="103">
        <f>'0.1g PET, 2H'!AA62</f>
        <v>0</v>
      </c>
      <c r="E52" s="115">
        <f>'0.1g PET, 2H'!AB62</f>
        <v>0</v>
      </c>
    </row>
    <row r="53" spans="2:5" x14ac:dyDescent="0.3">
      <c r="B53" s="90" t="s">
        <v>247</v>
      </c>
      <c r="C53" s="103">
        <f>'0.1g PET, 2H'!Z63</f>
        <v>0</v>
      </c>
      <c r="D53" s="103">
        <f>'0.1g PET, 2H'!AA63</f>
        <v>0</v>
      </c>
      <c r="E53" s="115">
        <f>'0.1g PET, 2H'!AB63</f>
        <v>0</v>
      </c>
    </row>
    <row r="54" spans="2:5" x14ac:dyDescent="0.3">
      <c r="B54" s="90" t="s">
        <v>248</v>
      </c>
      <c r="C54" s="103">
        <f>'0.1g PET, 2H'!Z64</f>
        <v>37076.244480000008</v>
      </c>
      <c r="D54" s="103">
        <f>'0.1g PET, 2H'!AA64</f>
        <v>185381.22240000003</v>
      </c>
      <c r="E54" s="115">
        <f>'0.1g PET, 2H'!AB64</f>
        <v>370762.44480000006</v>
      </c>
    </row>
    <row r="55" spans="2:5" x14ac:dyDescent="0.3">
      <c r="B55" s="89" t="s">
        <v>249</v>
      </c>
      <c r="C55" s="111">
        <f>'0.1g PET, 2H'!Z65</f>
        <v>676556.24448138033</v>
      </c>
      <c r="D55" s="111">
        <f>'0.1g PET, 2H'!AA65</f>
        <v>3382781.2224069014</v>
      </c>
      <c r="E55" s="116">
        <f>'0.1g PET, 2H'!AB65</f>
        <v>5013562.4448138028</v>
      </c>
    </row>
    <row r="56" spans="2:5" x14ac:dyDescent="0.3">
      <c r="B56" s="90"/>
      <c r="C56" s="113"/>
      <c r="D56" s="113"/>
      <c r="E56" s="109"/>
    </row>
    <row r="57" spans="2:5" x14ac:dyDescent="0.3">
      <c r="B57" s="90" t="s">
        <v>250</v>
      </c>
      <c r="C57" s="103">
        <f>'0.1g PET, 2H'!Z71</f>
        <v>566946.57477427204</v>
      </c>
      <c r="D57" s="103">
        <f>'0.1g PET, 2H'!AA71</f>
        <v>2834732.87387136</v>
      </c>
      <c r="E57" s="115">
        <f>'0.1g PET, 2H'!AB71</f>
        <v>5669465.7477427199</v>
      </c>
    </row>
    <row r="58" spans="2:5" x14ac:dyDescent="0.3">
      <c r="B58" s="90" t="s">
        <v>251</v>
      </c>
      <c r="C58" s="103">
        <f>'0.1g PET, 2H'!Z72</f>
        <v>269982.08977918467</v>
      </c>
      <c r="D58" s="103">
        <f>'0.1g PET, 2H'!AA72</f>
        <v>1349910.4488959233</v>
      </c>
      <c r="E58" s="115">
        <f>'0.1g PET, 2H'!AB72</f>
        <v>2699820.8977918467</v>
      </c>
    </row>
    <row r="59" spans="2:5" x14ac:dyDescent="0.3">
      <c r="B59" s="90" t="s">
        <v>252</v>
      </c>
      <c r="C59" s="103">
        <f>'0.1g PET, 2H'!Z73</f>
        <v>45552</v>
      </c>
      <c r="D59" s="103">
        <f>'0.1g PET, 2H'!AA73</f>
        <v>227760</v>
      </c>
      <c r="E59" s="115">
        <f>'0.1g PET, 2H'!AB73</f>
        <v>455520</v>
      </c>
    </row>
    <row r="60" spans="2:5" x14ac:dyDescent="0.3">
      <c r="B60" s="89" t="s">
        <v>253</v>
      </c>
      <c r="C60" s="111">
        <f>'0.1g PET, 2H'!Z74</f>
        <v>882480.66455345671</v>
      </c>
      <c r="D60" s="111">
        <f>'0.1g PET, 2H'!AA74</f>
        <v>4412403.3227672838</v>
      </c>
      <c r="E60" s="116">
        <f>'0.1g PET, 2H'!AB74</f>
        <v>8824806.6455345675</v>
      </c>
    </row>
    <row r="61" spans="2:5" x14ac:dyDescent="0.3">
      <c r="B61" s="90"/>
      <c r="C61" s="113"/>
      <c r="D61" s="113"/>
      <c r="E61" s="109"/>
    </row>
    <row r="62" spans="2:5" x14ac:dyDescent="0.3">
      <c r="B62" s="90" t="s">
        <v>254</v>
      </c>
      <c r="C62" s="103">
        <f>'0.1g PET, 2H'!AE61</f>
        <v>1225309.9607950081</v>
      </c>
      <c r="D62" s="103">
        <f>'0.1g PET, 2H'!AF61</f>
        <v>6126549.8039750401</v>
      </c>
      <c r="E62" s="115">
        <f>'0.1g PET, 2H'!AG61</f>
        <v>12253099.60795008</v>
      </c>
    </row>
    <row r="63" spans="2:5" x14ac:dyDescent="0.3">
      <c r="B63" s="90" t="s">
        <v>255</v>
      </c>
      <c r="C63" s="103">
        <f>'0.1g PET, 2H'!AE71</f>
        <v>363031.69423384371</v>
      </c>
      <c r="D63" s="103">
        <f>'0.1g PET, 2H'!AF71</f>
        <v>1815158.4711692184</v>
      </c>
      <c r="E63" s="115">
        <f>'0.1g PET, 2H'!AG71</f>
        <v>3630316.9423384368</v>
      </c>
    </row>
    <row r="64" spans="2:5" x14ac:dyDescent="0.3">
      <c r="B64" s="90" t="s">
        <v>256</v>
      </c>
      <c r="C64" s="103">
        <f>'0.1g PET, 2H'!AE72</f>
        <v>363031.69423384371</v>
      </c>
      <c r="D64" s="103">
        <f>'0.1g PET, 2H'!AF72</f>
        <v>1815158.4711692184</v>
      </c>
      <c r="E64" s="115">
        <f>'0.1g PET, 2H'!AG72</f>
        <v>3630316.9423384368</v>
      </c>
    </row>
    <row r="65" spans="2:6" x14ac:dyDescent="0.3">
      <c r="B65" s="89" t="s">
        <v>257</v>
      </c>
      <c r="C65" s="111">
        <f>C62+C63+C64</f>
        <v>1951373.3492626953</v>
      </c>
      <c r="D65" s="111">
        <f>D62+D63+D64</f>
        <v>9756866.7463134769</v>
      </c>
      <c r="E65" s="116">
        <f>E62+E63+E64</f>
        <v>19513733.492626954</v>
      </c>
    </row>
    <row r="66" spans="2:6" ht="17.25" thickBot="1" x14ac:dyDescent="0.35">
      <c r="B66" s="133"/>
      <c r="C66" s="138"/>
      <c r="D66" s="138"/>
      <c r="E66" s="139"/>
    </row>
    <row r="67" spans="2:6" ht="17.25" thickBot="1" x14ac:dyDescent="0.35">
      <c r="B67" s="135" t="s">
        <v>258</v>
      </c>
      <c r="C67" s="136">
        <f>C55+C60+C65</f>
        <v>3510410.2582975323</v>
      </c>
      <c r="D67" s="136">
        <f>D55+D60+D65</f>
        <v>17552051.291487664</v>
      </c>
      <c r="E67" s="137">
        <f>E55+E60+E65</f>
        <v>33352102.582975324</v>
      </c>
    </row>
    <row r="68" spans="2:6" ht="17.25" thickTop="1" x14ac:dyDescent="0.3"/>
    <row r="69" spans="2:6" ht="17.25" x14ac:dyDescent="0.3">
      <c r="B69" s="78" t="s">
        <v>259</v>
      </c>
      <c r="C69" s="79"/>
      <c r="D69" s="79"/>
      <c r="E69" s="79"/>
      <c r="F69" s="79"/>
    </row>
    <row r="71" spans="2:6" x14ac:dyDescent="0.3">
      <c r="B71" s="88" t="s">
        <v>260</v>
      </c>
      <c r="C71" s="85" t="s">
        <v>229</v>
      </c>
      <c r="D71" s="85" t="s">
        <v>230</v>
      </c>
      <c r="E71" s="85" t="s">
        <v>231</v>
      </c>
      <c r="F71" s="93" t="s">
        <v>261</v>
      </c>
    </row>
    <row r="72" spans="2:6" x14ac:dyDescent="0.3">
      <c r="B72" s="90" t="s">
        <v>262</v>
      </c>
      <c r="C72" s="103">
        <f>'0.1g PET, 2H'!Z80</f>
        <v>2845400.2137599997</v>
      </c>
      <c r="D72" s="103">
        <f>'0.1g PET, 2H'!AA80</f>
        <v>14227001.068799999</v>
      </c>
      <c r="E72" s="103">
        <f>'0.1g PET, 2H'!AB80</f>
        <v>28454002.137599997</v>
      </c>
      <c r="F72" s="118">
        <f>'0.1g PET, 2H'!F40</f>
        <v>0.94</v>
      </c>
    </row>
    <row r="73" spans="2:6" x14ac:dyDescent="0.3">
      <c r="B73" s="90" t="s">
        <v>263</v>
      </c>
      <c r="C73" s="103">
        <f>'0.1g PET, 2H'!Z81</f>
        <v>1192249.1750399999</v>
      </c>
      <c r="D73" s="103">
        <f>'0.1g PET, 2H'!AA81</f>
        <v>5961245.8751999997</v>
      </c>
      <c r="E73" s="103">
        <f>'0.1g PET, 2H'!AB81</f>
        <v>11922491.750399999</v>
      </c>
      <c r="F73" s="118">
        <f>'0.1g PET, 2H'!F41</f>
        <v>0.84</v>
      </c>
    </row>
    <row r="74" spans="2:6" ht="17.25" thickBot="1" x14ac:dyDescent="0.35">
      <c r="B74" s="133" t="s">
        <v>264</v>
      </c>
      <c r="C74" s="123">
        <f>'0.1g PET, 2H'!Z82</f>
        <v>1491930.3168000001</v>
      </c>
      <c r="D74" s="123">
        <f>'0.1g PET, 2H'!AA82</f>
        <v>7459651.5840000007</v>
      </c>
      <c r="E74" s="123">
        <f>'0.1g PET, 2H'!AB82</f>
        <v>14919303.168000001</v>
      </c>
      <c r="F74" s="140">
        <f>'0.1g PET, 2H'!F42</f>
        <v>8</v>
      </c>
    </row>
    <row r="75" spans="2:6" ht="17.25" thickBot="1" x14ac:dyDescent="0.35">
      <c r="B75" s="135" t="s">
        <v>265</v>
      </c>
      <c r="C75" s="136">
        <f>'0.1g PET, 2H'!Z83</f>
        <v>5529579.7056</v>
      </c>
      <c r="D75" s="136">
        <f>'0.1g PET, 2H'!AA83</f>
        <v>27647898.527999997</v>
      </c>
      <c r="E75" s="136">
        <f>'0.1g PET, 2H'!AB83</f>
        <v>55295797.055999994</v>
      </c>
      <c r="F75" s="141"/>
    </row>
    <row r="76" spans="2:6" ht="17.25" thickTop="1" x14ac:dyDescent="0.3"/>
    <row r="77" spans="2:6" ht="17.25" x14ac:dyDescent="0.3">
      <c r="B77" s="78" t="s">
        <v>266</v>
      </c>
      <c r="C77" s="79"/>
      <c r="D77" s="79"/>
      <c r="E77" s="79"/>
      <c r="F77" s="79"/>
    </row>
    <row r="79" spans="2:6" x14ac:dyDescent="0.3">
      <c r="B79" s="88"/>
      <c r="C79" s="85" t="s">
        <v>229</v>
      </c>
      <c r="D79" s="85" t="s">
        <v>230</v>
      </c>
      <c r="E79" s="93" t="s">
        <v>231</v>
      </c>
    </row>
    <row r="80" spans="2:6" x14ac:dyDescent="0.3">
      <c r="B80" s="90" t="s">
        <v>267</v>
      </c>
      <c r="C80" s="103">
        <f>C45</f>
        <v>3755855.8127652528</v>
      </c>
      <c r="D80" s="103">
        <f>D45</f>
        <v>10361230.947966196</v>
      </c>
      <c r="E80" s="115">
        <f>E45</f>
        <v>16211087.496765224</v>
      </c>
    </row>
    <row r="81" spans="2:6" ht="17.25" thickBot="1" x14ac:dyDescent="0.35">
      <c r="B81" s="133" t="s">
        <v>258</v>
      </c>
      <c r="C81" s="123">
        <f>C67</f>
        <v>3510410.2582975323</v>
      </c>
      <c r="D81" s="123">
        <f>D67</f>
        <v>17552051.291487664</v>
      </c>
      <c r="E81" s="134">
        <f>E67</f>
        <v>33352102.582975324</v>
      </c>
    </row>
    <row r="82" spans="2:6" ht="17.25" thickBot="1" x14ac:dyDescent="0.35">
      <c r="B82" s="142" t="s">
        <v>268</v>
      </c>
      <c r="C82" s="143">
        <f>C80+C81</f>
        <v>7266266.0710627846</v>
      </c>
      <c r="D82" s="143">
        <f>D80+D81</f>
        <v>27913282.23945386</v>
      </c>
      <c r="E82" s="144">
        <f>E80+E81</f>
        <v>49563190.079740547</v>
      </c>
    </row>
    <row r="83" spans="2:6" ht="18" thickTop="1" thickBot="1" x14ac:dyDescent="0.35">
      <c r="B83" s="145" t="s">
        <v>265</v>
      </c>
      <c r="C83" s="146">
        <f>C75</f>
        <v>5529579.7056</v>
      </c>
      <c r="D83" s="146">
        <f>D75</f>
        <v>27647898.527999997</v>
      </c>
      <c r="E83" s="147">
        <f>E75</f>
        <v>55295797.055999994</v>
      </c>
    </row>
    <row r="84" spans="2:6" ht="17.25" thickBot="1" x14ac:dyDescent="0.35">
      <c r="B84" s="148" t="s">
        <v>269</v>
      </c>
      <c r="C84" s="149">
        <f>C83-C82</f>
        <v>-1736686.3654627847</v>
      </c>
      <c r="D84" s="149">
        <f>D83-D82</f>
        <v>-265383.71145386249</v>
      </c>
      <c r="E84" s="150">
        <f>E83-E82</f>
        <v>5732606.9762594476</v>
      </c>
    </row>
    <row r="85" spans="2:6" ht="17.25" thickTop="1" x14ac:dyDescent="0.3"/>
    <row r="86" spans="2:6" ht="17.25" x14ac:dyDescent="0.3">
      <c r="B86" s="78" t="s">
        <v>270</v>
      </c>
      <c r="C86" s="79"/>
      <c r="D86" s="79"/>
      <c r="E86" s="79"/>
      <c r="F86" s="79"/>
    </row>
    <row r="88" spans="2:6" x14ac:dyDescent="0.3">
      <c r="B88" s="88" t="s">
        <v>271</v>
      </c>
      <c r="C88" s="93" t="s">
        <v>272</v>
      </c>
    </row>
    <row r="89" spans="2:6" ht="17.25" x14ac:dyDescent="0.3">
      <c r="B89" s="90" t="s">
        <v>273</v>
      </c>
      <c r="C89" s="120">
        <f>'0.1g PET, 2H'!Z88</f>
        <v>1.5137277925405797</v>
      </c>
    </row>
    <row r="90" spans="2:6" ht="17.25" x14ac:dyDescent="0.3">
      <c r="B90" s="90" t="s">
        <v>274</v>
      </c>
      <c r="C90" s="120">
        <f>'0.1g PET, 2H'!AA88</f>
        <v>0.95753431292795066</v>
      </c>
    </row>
    <row r="91" spans="2:6" ht="20.25" x14ac:dyDescent="0.3">
      <c r="B91" s="119" t="s">
        <v>275</v>
      </c>
      <c r="C91" s="121">
        <f>'0.1g PET, 2H'!AB88</f>
        <v>0.75061888828063461</v>
      </c>
    </row>
    <row r="93" spans="2:6" ht="17.25" x14ac:dyDescent="0.3">
      <c r="B93" s="78" t="s">
        <v>276</v>
      </c>
      <c r="C93" s="79"/>
      <c r="D93" s="79"/>
      <c r="E93" s="79"/>
      <c r="F93" s="79"/>
    </row>
    <row r="95" spans="2:6" x14ac:dyDescent="0.3">
      <c r="B95" s="88" t="s">
        <v>277</v>
      </c>
      <c r="C95" s="85" t="s">
        <v>278</v>
      </c>
      <c r="D95" s="93" t="s">
        <v>279</v>
      </c>
    </row>
    <row r="96" spans="2:6" x14ac:dyDescent="0.3">
      <c r="B96" s="90" t="s">
        <v>280</v>
      </c>
      <c r="C96" s="103">
        <f>E45</f>
        <v>16211087.496765224</v>
      </c>
      <c r="D96" s="122">
        <f>C96/$C$100*100</f>
        <v>32.16541086385589</v>
      </c>
    </row>
    <row r="97" spans="2:6" x14ac:dyDescent="0.3">
      <c r="B97" s="90" t="s">
        <v>281</v>
      </c>
      <c r="C97" s="103">
        <f>E55+E43</f>
        <v>5849503.1748138033</v>
      </c>
      <c r="D97" s="122">
        <f>C97/$C$100*100</f>
        <v>11.606357254247094</v>
      </c>
    </row>
    <row r="98" spans="2:6" x14ac:dyDescent="0.3">
      <c r="B98" s="90" t="s">
        <v>282</v>
      </c>
      <c r="C98" s="103">
        <f>E60</f>
        <v>8824806.6455345675</v>
      </c>
      <c r="D98" s="122">
        <f>C98/$C$100*100</f>
        <v>17.509838966962928</v>
      </c>
    </row>
    <row r="99" spans="2:6" ht="17.25" thickBot="1" x14ac:dyDescent="0.35">
      <c r="B99" s="133" t="s">
        <v>283</v>
      </c>
      <c r="C99" s="123">
        <f>E65</f>
        <v>19513733.492626954</v>
      </c>
      <c r="D99" s="151">
        <f>C99/$C$100*100</f>
        <v>38.7183929149341</v>
      </c>
    </row>
    <row r="100" spans="2:6" ht="17.25" thickBot="1" x14ac:dyDescent="0.35">
      <c r="B100" s="135" t="s">
        <v>284</v>
      </c>
      <c r="C100" s="136">
        <f>SUM(C96:C99)</f>
        <v>50399130.809740543</v>
      </c>
      <c r="D100" s="152">
        <f>SUM(D96:D99)</f>
        <v>100.00000000000001</v>
      </c>
    </row>
    <row r="101" spans="2:6" ht="17.25" thickTop="1" x14ac:dyDescent="0.3"/>
    <row r="102" spans="2:6" x14ac:dyDescent="0.3">
      <c r="B102" s="80" t="s">
        <v>285</v>
      </c>
    </row>
    <row r="103" spans="2:6" x14ac:dyDescent="0.3">
      <c r="B103" s="88" t="s">
        <v>260</v>
      </c>
      <c r="C103" s="85" t="s">
        <v>278</v>
      </c>
      <c r="D103" s="93" t="s">
        <v>279</v>
      </c>
    </row>
    <row r="104" spans="2:6" x14ac:dyDescent="0.3">
      <c r="B104" s="90" t="s">
        <v>262</v>
      </c>
      <c r="C104" s="103">
        <f>E72</f>
        <v>28454002.137599997</v>
      </c>
      <c r="D104" s="122">
        <f>'0.1g PET, 2H'!AC102</f>
        <v>51.457802676727184</v>
      </c>
    </row>
    <row r="105" spans="2:6" x14ac:dyDescent="0.3">
      <c r="B105" s="90" t="s">
        <v>263</v>
      </c>
      <c r="C105" s="103">
        <f>E73</f>
        <v>11922491.750399999</v>
      </c>
      <c r="D105" s="122">
        <f>'0.1g PET, 2H'!AC103</f>
        <v>21.561298299626053</v>
      </c>
    </row>
    <row r="106" spans="2:6" x14ac:dyDescent="0.3">
      <c r="B106" s="107" t="s">
        <v>264</v>
      </c>
      <c r="C106" s="124">
        <f>E74</f>
        <v>14919303.168000001</v>
      </c>
      <c r="D106" s="125">
        <f>'0.1g PET, 2H'!AC104</f>
        <v>26.980899023646771</v>
      </c>
    </row>
    <row r="108" spans="2:6" ht="17.25" x14ac:dyDescent="0.3">
      <c r="B108" s="78" t="s">
        <v>286</v>
      </c>
      <c r="C108" s="79"/>
      <c r="D108" s="79"/>
      <c r="E108" s="79"/>
      <c r="F108" s="79"/>
    </row>
    <row r="110" spans="2:6" x14ac:dyDescent="0.3">
      <c r="B110" s="88" t="s">
        <v>287</v>
      </c>
      <c r="C110" s="85" t="s">
        <v>272</v>
      </c>
      <c r="D110" s="108" t="s">
        <v>288</v>
      </c>
    </row>
    <row r="111" spans="2:6" x14ac:dyDescent="0.3">
      <c r="B111" s="129" t="s">
        <v>289</v>
      </c>
      <c r="C111" s="126">
        <f>C91</f>
        <v>0.75061888828063461</v>
      </c>
      <c r="D111" s="109" t="s">
        <v>290</v>
      </c>
    </row>
    <row r="112" spans="2:6" x14ac:dyDescent="0.3">
      <c r="B112" s="90" t="s">
        <v>291</v>
      </c>
      <c r="C112" s="127">
        <f>'0.1g PET, 2H'!AE87</f>
        <v>0.96</v>
      </c>
      <c r="D112" s="109" t="str">
        <f>'0.1g PET, 2H'!AF87</f>
        <v>ACS Sustainable Chem. Eng. 2023, 11, 965−978</v>
      </c>
    </row>
    <row r="113" spans="2:6" x14ac:dyDescent="0.3">
      <c r="B113" s="90" t="s">
        <v>292</v>
      </c>
      <c r="C113" s="127">
        <f>'0.1g PET, 2H'!AE88</f>
        <v>1.05</v>
      </c>
      <c r="D113" s="109" t="str">
        <f>'0.1g PET, 2H'!AF88</f>
        <v>ACS Sustainable Chem. Eng. 2023, 11, 965−978</v>
      </c>
    </row>
    <row r="114" spans="2:6" x14ac:dyDescent="0.3">
      <c r="B114" s="90" t="s">
        <v>293</v>
      </c>
      <c r="C114" s="127">
        <f>'0.1g PET, 2H'!AE89</f>
        <v>1.93</v>
      </c>
      <c r="D114" s="109" t="str">
        <f>'0.1g PET, 2H'!AF89</f>
        <v>Joule 5, 2479–2503 (2021)</v>
      </c>
    </row>
    <row r="115" spans="2:6" x14ac:dyDescent="0.3">
      <c r="B115" s="90" t="s">
        <v>294</v>
      </c>
      <c r="C115" s="127">
        <f>'0.1g PET, 2H'!AE90</f>
        <v>2.1800000000000002</v>
      </c>
      <c r="D115" s="109" t="str">
        <f>'0.1g PET, 2H'!AF90</f>
        <v>Green Chem., 2022, 24, 6531</v>
      </c>
    </row>
    <row r="116" spans="2:6" x14ac:dyDescent="0.3">
      <c r="B116" s="90" t="s">
        <v>295</v>
      </c>
      <c r="C116" s="127">
        <f>'0.1g PET, 2H'!AE92</f>
        <v>0.87</v>
      </c>
      <c r="D116" s="109" t="str">
        <f>'0.1g PET, 2H'!AF92</f>
        <v>ACS Sustainable Chem. Eng. 2023, 11, 965−978</v>
      </c>
    </row>
    <row r="117" spans="2:6" x14ac:dyDescent="0.3">
      <c r="B117" s="90" t="s">
        <v>296</v>
      </c>
      <c r="C117" s="127">
        <f>'0.1g PET, 2H'!AE93</f>
        <v>0.54</v>
      </c>
      <c r="D117" s="109" t="str">
        <f>'0.1g PET, 2H'!AF93</f>
        <v>ACS Sustainable Chem. Eng. 2023, 11, 965−978</v>
      </c>
    </row>
    <row r="118" spans="2:6" x14ac:dyDescent="0.3">
      <c r="B118" s="107" t="s">
        <v>297</v>
      </c>
      <c r="C118" s="128">
        <f>'0.1g PET, 2H'!AE94</f>
        <v>1.1399999999999999</v>
      </c>
      <c r="D118" s="110" t="str">
        <f>'0.1g PET, 2H'!AF94</f>
        <v>Chem. Eng. Journal 481 (2024) 148278</v>
      </c>
    </row>
    <row r="120" spans="2:6" ht="17.25" x14ac:dyDescent="0.3">
      <c r="B120" s="78" t="s">
        <v>298</v>
      </c>
      <c r="C120" s="79"/>
      <c r="D120" s="79"/>
      <c r="E120" s="79"/>
      <c r="F120" s="79"/>
    </row>
    <row r="122" spans="2:6" x14ac:dyDescent="0.3">
      <c r="B122" s="88" t="s">
        <v>299</v>
      </c>
      <c r="C122" s="93" t="s">
        <v>272</v>
      </c>
    </row>
    <row r="123" spans="2:6" x14ac:dyDescent="0.3">
      <c r="B123" s="130">
        <v>0.99999000000000005</v>
      </c>
      <c r="C123" s="118">
        <f>'0.1g PET, 2H'!AA110</f>
        <v>0.75</v>
      </c>
    </row>
    <row r="124" spans="2:6" x14ac:dyDescent="0.3">
      <c r="B124" s="130">
        <v>0.99990000000000001</v>
      </c>
      <c r="C124" s="118">
        <f>'0.1g PET, 2H'!AA111</f>
        <v>1.61</v>
      </c>
    </row>
    <row r="125" spans="2:6" x14ac:dyDescent="0.3">
      <c r="B125" s="130">
        <v>0.999</v>
      </c>
      <c r="C125" s="118">
        <f>'0.1g PET, 2H'!AA112</f>
        <v>10.210000000000001</v>
      </c>
    </row>
    <row r="126" spans="2:6" x14ac:dyDescent="0.3">
      <c r="B126" s="131">
        <v>0.99</v>
      </c>
      <c r="C126" s="132">
        <f>'0.1g PET, 2H'!AA113</f>
        <v>96.15</v>
      </c>
    </row>
    <row r="128" spans="2:6" x14ac:dyDescent="0.3">
      <c r="B128" s="88" t="s">
        <v>300</v>
      </c>
      <c r="C128" s="93" t="s">
        <v>272</v>
      </c>
    </row>
    <row r="129" spans="2:3" x14ac:dyDescent="0.3">
      <c r="B129" s="90" t="s">
        <v>301</v>
      </c>
      <c r="C129" s="118">
        <f>'0.1g PET, 2H'!AA114</f>
        <v>0.75</v>
      </c>
    </row>
    <row r="130" spans="2:3" x14ac:dyDescent="0.3">
      <c r="B130" s="90" t="s">
        <v>302</v>
      </c>
      <c r="C130" s="118">
        <f>'0.1g PET, 2H'!AA115</f>
        <v>0.87</v>
      </c>
    </row>
    <row r="131" spans="2:3" x14ac:dyDescent="0.3">
      <c r="B131" s="90" t="s">
        <v>303</v>
      </c>
      <c r="C131" s="118">
        <f>'0.1g PET, 2H'!AA116</f>
        <v>1</v>
      </c>
    </row>
    <row r="132" spans="2:3" x14ac:dyDescent="0.3">
      <c r="B132" s="107" t="s">
        <v>304</v>
      </c>
      <c r="C132" s="132">
        <f>'0.1g PET, 2H'!AA117</f>
        <v>1.1200000000000001</v>
      </c>
    </row>
  </sheetData>
  <phoneticPr fontId="1" type="noConversion"/>
  <conditionalFormatting sqref="C84:E84">
    <cfRule type="cellIs" dxfId="1" priority="1" operator="lessThan">
      <formula>0</formula>
    </cfRule>
  </conditionalFormatting>
  <conditionalFormatting sqref="C84:E84"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0.1g PET, 2H</vt:lpstr>
      <vt:lpstr>TEA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(대학원생) 이예찬 (에너지화학공학과)</dc:creator>
  <cp:lastModifiedBy>(연구원) 오현명 (에너지화학공학과)</cp:lastModifiedBy>
  <dcterms:created xsi:type="dcterms:W3CDTF">2025-05-09T05:12:39Z</dcterms:created>
  <dcterms:modified xsi:type="dcterms:W3CDTF">2026-04-02T04:40:22Z</dcterms:modified>
</cp:coreProperties>
</file>