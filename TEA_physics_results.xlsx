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_개발툴\Economic analysis\"/>
    </mc:Choice>
  </mc:AlternateContent>
  <xr:revisionPtr revIDLastSave="0" documentId="13_ncr:1_{90558484-23E2-4B6B-B7FA-B7AA2967C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PET TEA vs Paper" sheetId="2" r:id="rId2"/>
    <sheet name="PET Physics (live)" sheetId="3" r:id="rId3"/>
    <sheet name="LFP Physics (live)" sheetId="4" r:id="rId4"/>
    <sheet name="MATLAB vs Pyth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1" i="5"/>
  <c r="E10" i="5"/>
  <c r="E9" i="5"/>
  <c r="E8" i="5"/>
  <c r="E7" i="5"/>
  <c r="C10" i="4"/>
  <c r="C11" i="4" s="1"/>
  <c r="E32" i="3"/>
  <c r="C37" i="3" s="1"/>
  <c r="C38" i="3" s="1"/>
  <c r="C39" i="3" s="1"/>
  <c r="E31" i="3"/>
  <c r="E30" i="3"/>
  <c r="E29" i="3"/>
  <c r="C24" i="3"/>
  <c r="C25" i="3" s="1"/>
  <c r="C20" i="3"/>
  <c r="C21" i="3" s="1"/>
  <c r="C22" i="3" s="1"/>
  <c r="C23" i="3" s="1"/>
  <c r="E28" i="2"/>
  <c r="E27" i="2"/>
  <c r="E26" i="2"/>
  <c r="E25" i="2"/>
  <c r="E24" i="2"/>
  <c r="E23" i="2"/>
  <c r="E19" i="2"/>
  <c r="E18" i="2"/>
  <c r="E17" i="2"/>
  <c r="E16" i="2"/>
  <c r="E15" i="2"/>
  <c r="E14" i="2"/>
  <c r="E10" i="2"/>
  <c r="E9" i="2"/>
  <c r="E8" i="2"/>
  <c r="E7" i="2"/>
  <c r="E6" i="2"/>
  <c r="E5" i="2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<sst xmlns="http://schemas.openxmlformats.org/spreadsheetml/2006/main" count="157" uniqueCount="126">
  <si>
    <t>TEA Physics-Sizing Layer — Results Summary</t>
  </si>
  <si>
    <t>What this is</t>
  </si>
  <si>
    <t>Two chemical processes were modeled with a physics-based sizing layer.</t>
  </si>
  <si>
    <t>Unit-operation sizes/costs are DERIVED from engineering equations</t>
  </si>
  <si>
    <t>(Faraday's law, Bond's law, enthalpy balances) instead of flat guesses.</t>
  </si>
  <si>
    <t>Each model exists twice — canonical MATLAB + a Python mirror — and the</t>
  </si>
  <si>
    <t>two are verified numerically identical (see 'MATLAB vs Python' tab).</t>
  </si>
  <si>
    <t>You do NOT need to run MATLAB. The Python path produces the same numbers.</t>
  </si>
  <si>
    <t>Headline validation (PET → TPA + FA + H2 paper)</t>
  </si>
  <si>
    <t>Quantity</t>
  </si>
  <si>
    <t>Paper</t>
  </si>
  <si>
    <t>Tool (derived)</t>
  </si>
  <si>
    <t>Match</t>
  </si>
  <si>
    <t>Electrolyzer area (m²)</t>
  </si>
  <si>
    <t>Electrolyzer CAPEX ($)</t>
  </si>
  <si>
    <t>Electrolysis energy (kWh/kg H₂)</t>
  </si>
  <si>
    <t>Electricity OPEX ($/y @1t)</t>
  </si>
  <si>
    <t>Reactor net heat (GJ/batch)</t>
  </si>
  <si>
    <t>Steam OPEX ($/y @1t)</t>
  </si>
  <si>
    <t>MSP of TPA ($/kg @1t)</t>
  </si>
  <si>
    <t>Source: 260402 TEA summary.xlsx, sheet '0.1g PET, 2H' (paper).</t>
  </si>
  <si>
    <t>PET → TPA + FA + H2 : Tool recomputation vs Paper</t>
  </si>
  <si>
    <t>1 ton PET / batch</t>
  </si>
  <si>
    <t>Metric</t>
  </si>
  <si>
    <t>Tool</t>
  </si>
  <si>
    <t>Δ %</t>
  </si>
  <si>
    <t>CAPEX total ($)</t>
  </si>
  <si>
    <t>Annualized CAPEX ($/y)</t>
  </si>
  <si>
    <t>OPEX ($/y)</t>
  </si>
  <si>
    <t>Revenue ($/y)</t>
  </si>
  <si>
    <t>Net profit ($/y)</t>
  </si>
  <si>
    <t>MSP of TPA ($/kg)</t>
  </si>
  <si>
    <t>5 ton PET / batch</t>
  </si>
  <si>
    <t>10 ton PET / batch</t>
  </si>
  <si>
    <t>Reading</t>
  </si>
  <si>
    <t>• 1 ton reproduces the paper to the dollar (full validation).</t>
  </si>
  <si>
    <t>• CAPEX &amp; revenue match at every scale.</t>
  </si>
  <si>
    <t>• 5/10 ton OPEX differs for two reasons (both understood):</t>
  </si>
  <si>
    <t xml:space="preserve">   1) Maintenance+Operation: paper scales linearly with throughput;</t>
  </si>
  <si>
    <t xml:space="preserve">      tool scales by the 0.6-power (CAPEX-coupled, Turton/Towler).</t>
  </si>
  <si>
    <t xml:space="preserve">      This is a modeling choice, not an error.</t>
  </si>
  <si>
    <t xml:space="preserve">   2) PET feedstock cost is held FLAT 5→10 ton in the paper sheet</t>
  </si>
  <si>
    <t xml:space="preserve">      (cell AB60 = AA60 = $1.752M instead of ×10 = $3.504M) — a likely</t>
  </si>
  <si>
    <t xml:space="preserve">      fill error the tool surfaced. The tool scales it correctly.</t>
  </si>
  <si>
    <t>PET Physics — live Excel calculator (edit blue cells)</t>
  </si>
  <si>
    <t>Electrolyzer sizing — Faraday's law</t>
  </si>
  <si>
    <t>blue = input you can change; black = formula</t>
  </si>
  <si>
    <t>Input</t>
  </si>
  <si>
    <t>Value</t>
  </si>
  <si>
    <t>H2 production (kg/batch)</t>
  </si>
  <si>
    <t>Batch time (h)</t>
  </si>
  <si>
    <t>Current density (mA/cm²)</t>
  </si>
  <si>
    <t>Cell voltage (V)</t>
  </si>
  <si>
    <t>Faradaic efficiency</t>
  </si>
  <si>
    <t>Electrons per H2 (n)</t>
  </si>
  <si>
    <t>Faraday constant (C/mol)</t>
  </si>
  <si>
    <t>MW H2 (kg/mol)</t>
  </si>
  <si>
    <t>Area cost ($/m²)</t>
  </si>
  <si>
    <t>Electricity ($/kWh)</t>
  </si>
  <si>
    <t>Batches per year</t>
  </si>
  <si>
    <t>Calculation</t>
  </si>
  <si>
    <t>Formula result</t>
  </si>
  <si>
    <t>Equation</t>
  </si>
  <si>
    <t>H2 rate (mol/s)</t>
  </si>
  <si>
    <t>(kg/h ÷ MW) ÷ 3600</t>
  </si>
  <si>
    <t>Required current (A)</t>
  </si>
  <si>
    <t>I = n·F·ṅ / FE</t>
  </si>
  <si>
    <t>Required area (m²)</t>
  </si>
  <si>
    <t>A = I / (j×10)   [mA/cm² → A/m²]</t>
  </si>
  <si>
    <t>CAPEX = A × area cost</t>
  </si>
  <si>
    <t>Specific energy (kWh/kg H2)</t>
  </si>
  <si>
    <t>E = V·n·F / MW / 3.6e6</t>
  </si>
  <si>
    <t>E × H2/y × $/kWh</t>
  </si>
  <si>
    <t>Reactor heat duty — enthalpy balance</t>
  </si>
  <si>
    <t>Stream</t>
  </si>
  <si>
    <t>Mass (kg/t-feed)</t>
  </si>
  <si>
    <t>Cp (kJ/kg·K)</t>
  </si>
  <si>
    <t>m·Cp</t>
  </si>
  <si>
    <t>DMSO</t>
  </si>
  <si>
    <t>H2O</t>
  </si>
  <si>
    <t>H2SO4</t>
  </si>
  <si>
    <t>Σ m·Cp (kJ/K per ton)</t>
  </si>
  <si>
    <t>T feed (°C)</t>
  </si>
  <si>
    <t>T reaction (°C)</t>
  </si>
  <si>
    <t>Heat recovery fraction</t>
  </si>
  <si>
    <t>Steam price ($/GJ)</t>
  </si>
  <si>
    <t>Q heating (GJ/batch)</t>
  </si>
  <si>
    <t>Σm·Cp · ΔT / 1e6</t>
  </si>
  <si>
    <t>Q net (GJ/batch)</t>
  </si>
  <si>
    <t>Q heating × (1 − recovery)</t>
  </si>
  <si>
    <t>Q net × batches/y × $/GJ</t>
  </si>
  <si>
    <t>LFP Physics — live calculator + sizing results</t>
  </si>
  <si>
    <t>Ball mill specific energy — Bond's law</t>
  </si>
  <si>
    <t>Bond work index Wi (kWh/short ton)</t>
  </si>
  <si>
    <t>Feed size F80 (µm)</t>
  </si>
  <si>
    <t>Product size P80 (µm)</t>
  </si>
  <si>
    <t>Activation multiplier (assumption)</t>
  </si>
  <si>
    <t>Mill efficiency</t>
  </si>
  <si>
    <t>Bond comminution (kWh/t)</t>
  </si>
  <si>
    <t>10·Wi·(1/√P80−1/√F80) ÷ 0.9072</t>
  </si>
  <si>
    <t>Specific energy (kWh/t)</t>
  </si>
  <si>
    <t>Bond × activation ÷ efficiency</t>
  </si>
  <si>
    <t>(≈88% is the activation assumption, ~12% Bond — sweep it)</t>
  </si>
  <si>
    <t>Sizing results (from physics models)</t>
  </si>
  <si>
    <t>Ball mill motor (kW)</t>
  </si>
  <si>
    <t>Ball mill CAPEX ($)</t>
  </si>
  <si>
    <t>Leach residence time (h)</t>
  </si>
  <si>
    <t>Leach reactor volume (m³)</t>
  </si>
  <si>
    <t>Leach tank CAPEX ($)</t>
  </si>
  <si>
    <t>Evaporator heat (GJ/batch)</t>
  </si>
  <si>
    <t>Evaporator area (m²)</t>
  </si>
  <si>
    <t>Evaporator CAPEX ($)</t>
  </si>
  <si>
    <t>MATLAB (canonical) vs Python (mirror) — equivalence check</t>
  </si>
  <si>
    <t>Both implementations produce identical JSON. Verified field-by-field:</t>
  </si>
  <si>
    <t>LFP: 51/51 fields at 0.000%   •   PET: 21/21 fields at 0.000%   →   PASS</t>
  </si>
  <si>
    <t>Sample field</t>
  </si>
  <si>
    <t>MATLAB</t>
  </si>
  <si>
    <t>Python</t>
  </si>
  <si>
    <t>PET electrolyzer area (m²)</t>
  </si>
  <si>
    <t>PET electrolyzer CAPEX ($)</t>
  </si>
  <si>
    <t>PET net heat (GJ/batch)</t>
  </si>
  <si>
    <t>LFP ball mill motor (kW)</t>
  </si>
  <si>
    <t>LFP leach CAPEX ($)</t>
  </si>
  <si>
    <t>LFP evaporator CAPEX ($)</t>
  </si>
  <si>
    <t>Run yourself:  python -m tea_engine.physics.run_sizing_pet</t>
  </si>
  <si>
    <t>(MATLAB optional — Python gives the same numbers, no license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</si>
</sst>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;\(\$#,##0\);&quot;-&quot;"/>
    <numFmt numFmtId="177" formatCode="\$#,##0.00;\(\$#,##0.00\);&quot;-&quot;"/>
    <numFmt numFmtId="178" formatCode="0.00%;\(0.00%\);&quot;-&quot;"/>
    <numFmt numFmtId="179" formatCode="#,##0.0000"/>
    <numFmt numFmtId="180" formatCode="0.000000"/>
    <numFmt numFmtId="181" formatCode="0.0000"/>
  </numFmts>
  <fonts count="10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1"/>
      <color rgb="FF1F4E78"/>
      <name val="Arial"/>
    </font>
    <font>
      <i/>
      <sz val="9"/>
      <color rgb="FF595959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6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/>
    </xf>
    <xf numFmtId="176" fontId="7" fillId="0" borderId="1" xfId="0" applyNumberFormat="1" applyFont="1" applyBorder="1" applyAlignment="1">
      <alignment horizontal="right"/>
    </xf>
    <xf numFmtId="177" fontId="6" fillId="0" borderId="1" xfId="0" applyNumberFormat="1" applyFont="1" applyBorder="1" applyAlignment="1">
      <alignment horizontal="right"/>
    </xf>
    <xf numFmtId="177" fontId="7" fillId="0" borderId="1" xfId="0" applyNumberFormat="1" applyFont="1" applyBorder="1" applyAlignment="1">
      <alignment horizontal="right"/>
    </xf>
    <xf numFmtId="178" fontId="7" fillId="0" borderId="1" xfId="0" applyNumberFormat="1" applyFont="1" applyBorder="1" applyAlignment="1">
      <alignment horizontal="right"/>
    </xf>
    <xf numFmtId="179" fontId="6" fillId="3" borderId="1" xfId="0" applyNumberFormat="1" applyFont="1" applyFill="1" applyBorder="1" applyAlignment="1">
      <alignment horizontal="right"/>
    </xf>
    <xf numFmtId="4" fontId="6" fillId="3" borderId="1" xfId="0" applyNumberFormat="1" applyFont="1" applyFill="1" applyBorder="1" applyAlignment="1">
      <alignment horizontal="right"/>
    </xf>
    <xf numFmtId="2" fontId="6" fillId="3" borderId="1" xfId="0" applyNumberFormat="1" applyFont="1" applyFill="1" applyBorder="1" applyAlignment="1">
      <alignment horizontal="right"/>
    </xf>
    <xf numFmtId="1" fontId="6" fillId="3" borderId="1" xfId="0" applyNumberFormat="1" applyFont="1" applyFill="1" applyBorder="1" applyAlignment="1">
      <alignment horizontal="right"/>
    </xf>
    <xf numFmtId="180" fontId="6" fillId="3" borderId="1" xfId="0" applyNumberFormat="1" applyFont="1" applyFill="1" applyBorder="1" applyAlignment="1">
      <alignment horizontal="right"/>
    </xf>
    <xf numFmtId="176" fontId="6" fillId="3" borderId="1" xfId="0" applyNumberFormat="1" applyFont="1" applyFill="1" applyBorder="1" applyAlignment="1">
      <alignment horizontal="right"/>
    </xf>
    <xf numFmtId="181" fontId="6" fillId="3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0" fontId="3" fillId="0" borderId="1" xfId="0" applyFont="1" applyBorder="1"/>
    <xf numFmtId="3" fontId="7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8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selection sqref="A1:F1"/>
    </sheetView>
  </sheetViews>
  <sheetFormatPr defaultRowHeight="16.5" x14ac:dyDescent="0.3"/>
  <cols>
    <col min="1" max="1" width="2" customWidth="1"/>
    <col min="2" max="2" width="42" customWidth="1"/>
    <col min="3" max="6" width="16" customWidth="1"/>
  </cols>
  <sheetData>
    <row r="1" spans="1:6" ht="26.1" customHeight="1" x14ac:dyDescent="0.3">
      <c r="A1" s="28" t="s">
        <v>0</v>
      </c>
      <c r="B1" s="27"/>
      <c r="C1" s="27"/>
      <c r="D1" s="27"/>
      <c r="E1" s="27"/>
      <c r="F1" s="27"/>
    </row>
    <row r="3" spans="1:6" x14ac:dyDescent="0.3">
      <c r="B3" s="1" t="s">
        <v>1</v>
      </c>
    </row>
    <row r="4" spans="1:6" x14ac:dyDescent="0.3">
      <c r="B4" s="26" t="s">
        <v>2</v>
      </c>
      <c r="C4" s="27"/>
      <c r="D4" s="27"/>
      <c r="E4" s="27"/>
      <c r="F4" s="27"/>
    </row>
    <row r="5" spans="1:6" x14ac:dyDescent="0.3">
      <c r="B5" s="26" t="s">
        <v>3</v>
      </c>
      <c r="C5" s="27"/>
      <c r="D5" s="27"/>
      <c r="E5" s="27"/>
      <c r="F5" s="27"/>
    </row>
    <row r="6" spans="1:6" x14ac:dyDescent="0.3">
      <c r="B6" s="26" t="s">
        <v>4</v>
      </c>
      <c r="C6" s="27"/>
      <c r="D6" s="27"/>
      <c r="E6" s="27"/>
      <c r="F6" s="27"/>
    </row>
    <row r="7" spans="1:6" x14ac:dyDescent="0.3">
      <c r="B7" s="26" t="s">
        <v>5</v>
      </c>
      <c r="C7" s="27"/>
      <c r="D7" s="27"/>
      <c r="E7" s="27"/>
      <c r="F7" s="27"/>
    </row>
    <row r="8" spans="1:6" x14ac:dyDescent="0.3">
      <c r="B8" s="26" t="s">
        <v>6</v>
      </c>
      <c r="C8" s="27"/>
      <c r="D8" s="27"/>
      <c r="E8" s="27"/>
      <c r="F8" s="27"/>
    </row>
    <row r="9" spans="1:6" x14ac:dyDescent="0.3">
      <c r="B9" s="29"/>
      <c r="C9" s="27"/>
      <c r="D9" s="27"/>
      <c r="E9" s="27"/>
      <c r="F9" s="27"/>
    </row>
    <row r="10" spans="1:6" x14ac:dyDescent="0.3">
      <c r="B10" s="26" t="s">
        <v>7</v>
      </c>
      <c r="C10" s="27"/>
      <c r="D10" s="27"/>
      <c r="E10" s="27"/>
      <c r="F10" s="27"/>
    </row>
    <row r="12" spans="1:6" x14ac:dyDescent="0.3">
      <c r="B12" s="1" t="s">
        <v>8</v>
      </c>
    </row>
    <row r="13" spans="1:6" x14ac:dyDescent="0.3">
      <c r="A13" s="4" t="s">
        <v>9</v>
      </c>
      <c r="B13" s="4" t="s">
        <v>10</v>
      </c>
      <c r="C13" s="4" t="s">
        <v>11</v>
      </c>
      <c r="D13" s="4" t="s">
        <v>12</v>
      </c>
    </row>
    <row r="14" spans="1:6" x14ac:dyDescent="0.3">
      <c r="B14" s="5" t="s">
        <v>13</v>
      </c>
      <c r="C14" s="6">
        <v>595.84</v>
      </c>
      <c r="D14" s="7">
        <v>595.83924396912289</v>
      </c>
      <c r="E14" s="8" t="str">
        <f t="shared" ref="E14:E20" si="0">IF(ABS(D14-C14)/C14&lt;0.001,"OK","CHECK")</f>
        <v>OK</v>
      </c>
    </row>
    <row r="15" spans="1:6" x14ac:dyDescent="0.3">
      <c r="B15" s="5" t="s">
        <v>14</v>
      </c>
      <c r="C15" s="9">
        <v>5958372</v>
      </c>
      <c r="D15" s="10">
        <v>5958392.4396912288</v>
      </c>
      <c r="E15" s="8" t="str">
        <f t="shared" si="0"/>
        <v>OK</v>
      </c>
    </row>
    <row r="16" spans="1:6" x14ac:dyDescent="0.3">
      <c r="B16" s="5" t="s">
        <v>15</v>
      </c>
      <c r="C16" s="6">
        <v>31.9</v>
      </c>
      <c r="D16" s="7">
        <v>31.906525171957679</v>
      </c>
      <c r="E16" s="8" t="str">
        <f t="shared" si="0"/>
        <v>OK</v>
      </c>
    </row>
    <row r="17" spans="2:5" x14ac:dyDescent="0.3">
      <c r="B17" s="5" t="s">
        <v>16</v>
      </c>
      <c r="C17" s="9">
        <v>566946.56999999995</v>
      </c>
      <c r="D17" s="10">
        <v>567062.54417525057</v>
      </c>
      <c r="E17" s="8" t="str">
        <f t="shared" si="0"/>
        <v>OK</v>
      </c>
    </row>
    <row r="18" spans="2:5" x14ac:dyDescent="0.3">
      <c r="B18" s="5" t="s">
        <v>17</v>
      </c>
      <c r="C18" s="6">
        <v>16.152999999999999</v>
      </c>
      <c r="D18" s="7">
        <v>16.152620976360009</v>
      </c>
      <c r="E18" s="8" t="str">
        <f t="shared" si="0"/>
        <v>OK</v>
      </c>
    </row>
    <row r="19" spans="2:5" x14ac:dyDescent="0.3">
      <c r="B19" s="5" t="s">
        <v>18</v>
      </c>
      <c r="C19" s="9">
        <v>269982.09000000003</v>
      </c>
      <c r="D19" s="10">
        <v>269976.19920855918</v>
      </c>
      <c r="E19" s="8" t="str">
        <f t="shared" si="0"/>
        <v>OK</v>
      </c>
    </row>
    <row r="20" spans="2:5" x14ac:dyDescent="0.3">
      <c r="B20" s="5" t="s">
        <v>19</v>
      </c>
      <c r="C20" s="11">
        <v>1.5137277925405801</v>
      </c>
      <c r="D20" s="12">
        <v>1.5137650529651321</v>
      </c>
      <c r="E20" s="8" t="str">
        <f t="shared" si="0"/>
        <v>OK</v>
      </c>
    </row>
    <row r="21" spans="2:5" x14ac:dyDescent="0.3">
      <c r="B21" s="2" t="s">
        <v>20</v>
      </c>
    </row>
  </sheetData>
  <mergeCells count="8">
    <mergeCell ref="B4:F4"/>
    <mergeCell ref="B7:F7"/>
    <mergeCell ref="B6:F6"/>
    <mergeCell ref="B10:F10"/>
    <mergeCell ref="A1:F1"/>
    <mergeCell ref="B5:F5"/>
    <mergeCell ref="B8:F8"/>
    <mergeCell ref="B9:F9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workbookViewId="0"/>
  </sheetViews>
  <sheetFormatPr defaultRowHeight="16.5" x14ac:dyDescent="0.3"/>
  <cols>
    <col min="1" max="1" width="2" customWidth="1"/>
    <col min="2" max="2" width="26" customWidth="1"/>
    <col min="3" max="8" width="15" customWidth="1"/>
  </cols>
  <sheetData>
    <row r="1" spans="1:8" ht="26.1" customHeight="1" x14ac:dyDescent="0.3">
      <c r="A1" s="28" t="s">
        <v>21</v>
      </c>
      <c r="B1" s="27"/>
      <c r="C1" s="27"/>
      <c r="D1" s="27"/>
      <c r="E1" s="27"/>
      <c r="F1" s="27"/>
      <c r="G1" s="27"/>
      <c r="H1" s="27"/>
    </row>
    <row r="3" spans="1:8" x14ac:dyDescent="0.3">
      <c r="B3" s="1" t="s">
        <v>22</v>
      </c>
    </row>
    <row r="4" spans="1:8" x14ac:dyDescent="0.3">
      <c r="A4" s="4" t="s">
        <v>23</v>
      </c>
      <c r="B4" s="4" t="s">
        <v>10</v>
      </c>
      <c r="C4" s="4" t="s">
        <v>24</v>
      </c>
      <c r="D4" s="4" t="s">
        <v>25</v>
      </c>
    </row>
    <row r="5" spans="1:8" x14ac:dyDescent="0.3">
      <c r="B5" s="5" t="s">
        <v>26</v>
      </c>
      <c r="C5" s="9">
        <v>33434653.12736484</v>
      </c>
      <c r="D5" s="10">
        <v>33434678.787114032</v>
      </c>
      <c r="E5" s="13">
        <f t="shared" ref="E5:E10" si="0">(D5-C5)/C5</f>
        <v>7.6745970994545671E-7</v>
      </c>
    </row>
    <row r="6" spans="1:8" x14ac:dyDescent="0.3">
      <c r="B6" s="5" t="s">
        <v>27</v>
      </c>
      <c r="C6" s="9">
        <v>3755855.8127652528</v>
      </c>
      <c r="D6" s="10">
        <v>3755858.531305342</v>
      </c>
      <c r="E6" s="13">
        <f t="shared" si="0"/>
        <v>7.2381375237176093E-7</v>
      </c>
    </row>
    <row r="7" spans="1:8" x14ac:dyDescent="0.3">
      <c r="B7" s="5" t="s">
        <v>28</v>
      </c>
      <c r="C7" s="9">
        <v>3510410.2582975328</v>
      </c>
      <c r="D7" s="10">
        <v>3510520.3278638101</v>
      </c>
      <c r="E7" s="13">
        <f t="shared" si="0"/>
        <v>3.1355185912287817E-5</v>
      </c>
    </row>
    <row r="8" spans="1:8" x14ac:dyDescent="0.3">
      <c r="B8" s="5" t="s">
        <v>29</v>
      </c>
      <c r="C8" s="9">
        <v>5529579.7056</v>
      </c>
      <c r="D8" s="10">
        <v>5529579.7055999991</v>
      </c>
      <c r="E8" s="13">
        <f t="shared" si="0"/>
        <v>-1.6842556291797284E-16</v>
      </c>
    </row>
    <row r="9" spans="1:8" x14ac:dyDescent="0.3">
      <c r="B9" s="5" t="s">
        <v>30</v>
      </c>
      <c r="C9" s="9">
        <v>-1736686.3654627861</v>
      </c>
      <c r="D9" s="10">
        <v>-1736799.153569153</v>
      </c>
      <c r="E9" s="13">
        <f t="shared" si="0"/>
        <v>6.4944430157333913E-5</v>
      </c>
    </row>
    <row r="10" spans="1:8" x14ac:dyDescent="0.3">
      <c r="B10" s="5" t="s">
        <v>31</v>
      </c>
      <c r="C10" s="11">
        <v>1.5137277925405801</v>
      </c>
      <c r="D10" s="12">
        <v>1.5137650529651321</v>
      </c>
      <c r="E10" s="13">
        <f t="shared" si="0"/>
        <v>2.4615009868750362E-5</v>
      </c>
    </row>
    <row r="12" spans="1:8" x14ac:dyDescent="0.3">
      <c r="B12" s="1" t="s">
        <v>32</v>
      </c>
    </row>
    <row r="13" spans="1:8" x14ac:dyDescent="0.3">
      <c r="A13" s="4" t="s">
        <v>23</v>
      </c>
      <c r="B13" s="4" t="s">
        <v>10</v>
      </c>
      <c r="C13" s="4" t="s">
        <v>24</v>
      </c>
      <c r="D13" s="4" t="s">
        <v>25</v>
      </c>
    </row>
    <row r="14" spans="1:8" x14ac:dyDescent="0.3">
      <c r="B14" s="5" t="s">
        <v>26</v>
      </c>
      <c r="C14" s="9">
        <v>87817046.069619119</v>
      </c>
      <c r="D14" s="10">
        <v>87817113.465663821</v>
      </c>
      <c r="E14" s="13">
        <f t="shared" ref="E14:E19" si="1">(D14-C14)/C14</f>
        <v>7.6745970990538613E-7</v>
      </c>
    </row>
    <row r="15" spans="1:8" x14ac:dyDescent="0.3">
      <c r="B15" s="5" t="s">
        <v>27</v>
      </c>
      <c r="C15" s="9">
        <v>10361230.947966199</v>
      </c>
      <c r="D15" s="10">
        <v>10361238.080153869</v>
      </c>
      <c r="E15" s="13">
        <f t="shared" si="1"/>
        <v>6.8835331495981453E-7</v>
      </c>
    </row>
    <row r="16" spans="1:8" x14ac:dyDescent="0.3">
      <c r="B16" s="5" t="s">
        <v>28</v>
      </c>
      <c r="C16" s="9">
        <v>17552051.29148766</v>
      </c>
      <c r="D16" s="10">
        <v>15829310.394648431</v>
      </c>
      <c r="E16" s="13">
        <f t="shared" si="1"/>
        <v>-9.8150402379163448E-2</v>
      </c>
    </row>
    <row r="17" spans="1:8" x14ac:dyDescent="0.3">
      <c r="B17" s="5" t="s">
        <v>29</v>
      </c>
      <c r="C17" s="9">
        <v>27647898.528000001</v>
      </c>
      <c r="D17" s="10">
        <v>27647898.528000001</v>
      </c>
      <c r="E17" s="13">
        <f t="shared" si="1"/>
        <v>0</v>
      </c>
    </row>
    <row r="18" spans="1:8" x14ac:dyDescent="0.3">
      <c r="B18" s="5" t="s">
        <v>30</v>
      </c>
      <c r="C18" s="9">
        <v>-265383.71145386249</v>
      </c>
      <c r="D18" s="10">
        <v>1457350.053197697</v>
      </c>
      <c r="E18" s="13">
        <f t="shared" si="1"/>
        <v>-6.4914826731973729</v>
      </c>
    </row>
    <row r="19" spans="1:8" x14ac:dyDescent="0.3">
      <c r="B19" s="5" t="s">
        <v>31</v>
      </c>
      <c r="C19" s="11">
        <v>0.95753431292795066</v>
      </c>
      <c r="D19" s="12">
        <v>0.84371062436973687</v>
      </c>
      <c r="E19" s="13">
        <f t="shared" si="1"/>
        <v>-0.11887165506389369</v>
      </c>
    </row>
    <row r="21" spans="1:8" x14ac:dyDescent="0.3">
      <c r="B21" s="1" t="s">
        <v>33</v>
      </c>
    </row>
    <row r="22" spans="1:8" x14ac:dyDescent="0.3">
      <c r="A22" s="4" t="s">
        <v>23</v>
      </c>
      <c r="B22" s="4" t="s">
        <v>10</v>
      </c>
      <c r="C22" s="4" t="s">
        <v>24</v>
      </c>
      <c r="D22" s="4" t="s">
        <v>25</v>
      </c>
    </row>
    <row r="23" spans="1:8" x14ac:dyDescent="0.3">
      <c r="B23" s="5" t="s">
        <v>26</v>
      </c>
      <c r="C23" s="9">
        <v>133105751.5497285</v>
      </c>
      <c r="D23" s="10">
        <v>133105853.70303001</v>
      </c>
      <c r="E23" s="13">
        <f t="shared" ref="E23:E28" si="2">(D23-C23)/C23</f>
        <v>7.6745971017691111E-7</v>
      </c>
    </row>
    <row r="24" spans="1:8" x14ac:dyDescent="0.3">
      <c r="B24" s="5" t="s">
        <v>27</v>
      </c>
      <c r="C24" s="9">
        <v>16211087.496765221</v>
      </c>
      <c r="D24" s="10">
        <v>16211098.29884249</v>
      </c>
      <c r="E24" s="13">
        <f t="shared" si="2"/>
        <v>6.6633884193994193E-7</v>
      </c>
    </row>
    <row r="25" spans="1:8" x14ac:dyDescent="0.3">
      <c r="B25" s="5" t="s">
        <v>28</v>
      </c>
      <c r="C25" s="9">
        <v>33352102.582975321</v>
      </c>
      <c r="D25" s="10">
        <v>30735079.85718118</v>
      </c>
      <c r="E25" s="13">
        <f t="shared" si="2"/>
        <v>-7.8466499054545585E-2</v>
      </c>
    </row>
    <row r="26" spans="1:8" x14ac:dyDescent="0.3">
      <c r="B26" s="5" t="s">
        <v>29</v>
      </c>
      <c r="C26" s="9">
        <v>55295797.055999987</v>
      </c>
      <c r="D26" s="10">
        <v>55295797.055999987</v>
      </c>
      <c r="E26" s="13">
        <f t="shared" si="2"/>
        <v>0</v>
      </c>
    </row>
    <row r="27" spans="1:8" x14ac:dyDescent="0.3">
      <c r="B27" s="5" t="s">
        <v>30</v>
      </c>
      <c r="C27" s="9">
        <v>5732606.9762594439</v>
      </c>
      <c r="D27" s="10">
        <v>8349618.8999763206</v>
      </c>
      <c r="E27" s="13">
        <f t="shared" si="2"/>
        <v>0.45651340385879563</v>
      </c>
    </row>
    <row r="28" spans="1:8" x14ac:dyDescent="0.3">
      <c r="B28" s="5" t="s">
        <v>31</v>
      </c>
      <c r="C28" s="11">
        <v>0.75061888828063461</v>
      </c>
      <c r="D28" s="12">
        <v>0.66416387234306462</v>
      </c>
      <c r="E28" s="13">
        <f t="shared" si="2"/>
        <v>-0.11517831124074641</v>
      </c>
    </row>
    <row r="30" spans="1:8" x14ac:dyDescent="0.3">
      <c r="B30" s="1" t="s">
        <v>34</v>
      </c>
    </row>
    <row r="31" spans="1:8" x14ac:dyDescent="0.3">
      <c r="B31" s="26" t="s">
        <v>35</v>
      </c>
      <c r="C31" s="27"/>
      <c r="D31" s="27"/>
      <c r="E31" s="27"/>
      <c r="F31" s="27"/>
      <c r="G31" s="27"/>
      <c r="H31" s="27"/>
    </row>
    <row r="32" spans="1:8" x14ac:dyDescent="0.3">
      <c r="B32" s="26" t="s">
        <v>36</v>
      </c>
      <c r="C32" s="27"/>
      <c r="D32" s="27"/>
      <c r="E32" s="27"/>
      <c r="F32" s="27"/>
      <c r="G32" s="27"/>
      <c r="H32" s="27"/>
    </row>
    <row r="33" spans="2:8" x14ac:dyDescent="0.3">
      <c r="B33" s="26" t="s">
        <v>37</v>
      </c>
      <c r="C33" s="27"/>
      <c r="D33" s="27"/>
      <c r="E33" s="27"/>
      <c r="F33" s="27"/>
      <c r="G33" s="27"/>
      <c r="H33" s="27"/>
    </row>
    <row r="34" spans="2:8" x14ac:dyDescent="0.3">
      <c r="B34" s="26" t="s">
        <v>38</v>
      </c>
      <c r="C34" s="27"/>
      <c r="D34" s="27"/>
      <c r="E34" s="27"/>
      <c r="F34" s="27"/>
      <c r="G34" s="27"/>
      <c r="H34" s="27"/>
    </row>
    <row r="35" spans="2:8" x14ac:dyDescent="0.3">
      <c r="B35" s="26" t="s">
        <v>39</v>
      </c>
      <c r="C35" s="27"/>
      <c r="D35" s="27"/>
      <c r="E35" s="27"/>
      <c r="F35" s="27"/>
      <c r="G35" s="27"/>
      <c r="H35" s="27"/>
    </row>
    <row r="36" spans="2:8" x14ac:dyDescent="0.3">
      <c r="B36" s="26" t="s">
        <v>40</v>
      </c>
      <c r="C36" s="27"/>
      <c r="D36" s="27"/>
      <c r="E36" s="27"/>
      <c r="F36" s="27"/>
      <c r="G36" s="27"/>
      <c r="H36" s="27"/>
    </row>
    <row r="37" spans="2:8" x14ac:dyDescent="0.3">
      <c r="B37" s="26" t="s">
        <v>41</v>
      </c>
      <c r="C37" s="27"/>
      <c r="D37" s="27"/>
      <c r="E37" s="27"/>
      <c r="F37" s="27"/>
      <c r="G37" s="27"/>
      <c r="H37" s="27"/>
    </row>
    <row r="38" spans="2:8" x14ac:dyDescent="0.3">
      <c r="B38" s="26" t="s">
        <v>42</v>
      </c>
      <c r="C38" s="27"/>
      <c r="D38" s="27"/>
      <c r="E38" s="27"/>
      <c r="F38" s="27"/>
      <c r="G38" s="27"/>
      <c r="H38" s="27"/>
    </row>
    <row r="39" spans="2:8" x14ac:dyDescent="0.3">
      <c r="B39" s="26" t="s">
        <v>43</v>
      </c>
      <c r="C39" s="27"/>
      <c r="D39" s="27"/>
      <c r="E39" s="27"/>
      <c r="F39" s="27"/>
      <c r="G39" s="27"/>
      <c r="H39" s="27"/>
    </row>
  </sheetData>
  <mergeCells count="10">
    <mergeCell ref="A1:H1"/>
    <mergeCell ref="B34:H34"/>
    <mergeCell ref="B37:H37"/>
    <mergeCell ref="B31:H31"/>
    <mergeCell ref="B36:H36"/>
    <mergeCell ref="B32:H32"/>
    <mergeCell ref="B35:H35"/>
    <mergeCell ref="B39:H39"/>
    <mergeCell ref="B38:H38"/>
    <mergeCell ref="B33:H33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workbookViewId="0"/>
  </sheetViews>
  <sheetFormatPr defaultRowHeight="16.5" x14ac:dyDescent="0.3"/>
  <cols>
    <col min="1" max="1" width="2" customWidth="1"/>
    <col min="2" max="2" width="34" customWidth="1"/>
    <col min="3" max="3" width="16" customWidth="1"/>
    <col min="4" max="4" width="14" customWidth="1"/>
    <col min="5" max="5" width="40" customWidth="1"/>
  </cols>
  <sheetData>
    <row r="1" spans="1:5" ht="26.1" customHeight="1" x14ac:dyDescent="0.3">
      <c r="A1" s="28" t="s">
        <v>44</v>
      </c>
      <c r="B1" s="27"/>
      <c r="C1" s="27"/>
      <c r="D1" s="27"/>
      <c r="E1" s="27"/>
    </row>
    <row r="3" spans="1:5" x14ac:dyDescent="0.3">
      <c r="B3" s="1" t="s">
        <v>45</v>
      </c>
    </row>
    <row r="4" spans="1:5" x14ac:dyDescent="0.3">
      <c r="E4" s="2" t="s">
        <v>46</v>
      </c>
    </row>
    <row r="5" spans="1:5" x14ac:dyDescent="0.3">
      <c r="B5" s="4" t="s">
        <v>47</v>
      </c>
      <c r="C5" s="4" t="s">
        <v>48</v>
      </c>
    </row>
    <row r="6" spans="1:5" x14ac:dyDescent="0.3">
      <c r="B6" s="5" t="s">
        <v>49</v>
      </c>
      <c r="C6" s="14">
        <v>53.2224</v>
      </c>
    </row>
    <row r="7" spans="1:5" x14ac:dyDescent="0.3">
      <c r="B7" s="5" t="s">
        <v>50</v>
      </c>
      <c r="C7" s="15">
        <v>2</v>
      </c>
    </row>
    <row r="8" spans="1:5" x14ac:dyDescent="0.3">
      <c r="B8" s="5" t="s">
        <v>51</v>
      </c>
      <c r="C8" s="15">
        <v>125</v>
      </c>
    </row>
    <row r="9" spans="1:5" x14ac:dyDescent="0.3">
      <c r="B9" s="5" t="s">
        <v>52</v>
      </c>
      <c r="C9" s="15">
        <v>1.2</v>
      </c>
    </row>
    <row r="10" spans="1:5" x14ac:dyDescent="0.3">
      <c r="B10" s="5" t="s">
        <v>53</v>
      </c>
      <c r="C10" s="16">
        <v>0.95</v>
      </c>
    </row>
    <row r="11" spans="1:5" x14ac:dyDescent="0.3">
      <c r="B11" s="5" t="s">
        <v>54</v>
      </c>
      <c r="C11" s="17">
        <v>2</v>
      </c>
    </row>
    <row r="12" spans="1:5" x14ac:dyDescent="0.3">
      <c r="B12" s="5" t="s">
        <v>55</v>
      </c>
      <c r="C12" s="15">
        <v>96485.332120000006</v>
      </c>
    </row>
    <row r="13" spans="1:5" x14ac:dyDescent="0.3">
      <c r="B13" s="5" t="s">
        <v>56</v>
      </c>
      <c r="C13" s="18">
        <v>2.016E-3</v>
      </c>
    </row>
    <row r="14" spans="1:5" x14ac:dyDescent="0.3">
      <c r="B14" s="5" t="s">
        <v>57</v>
      </c>
      <c r="C14" s="19">
        <v>10000</v>
      </c>
    </row>
    <row r="15" spans="1:5" x14ac:dyDescent="0.3">
      <c r="B15" s="5" t="s">
        <v>58</v>
      </c>
      <c r="C15" s="20">
        <v>9.5299999999999996E-2</v>
      </c>
    </row>
    <row r="16" spans="1:5" x14ac:dyDescent="0.3">
      <c r="B16" s="5" t="s">
        <v>59</v>
      </c>
      <c r="C16" s="21">
        <v>3504</v>
      </c>
    </row>
    <row r="18" spans="2:5" x14ac:dyDescent="0.3">
      <c r="B18" s="1" t="s">
        <v>60</v>
      </c>
    </row>
    <row r="19" spans="2:5" x14ac:dyDescent="0.3">
      <c r="B19" s="4" t="s">
        <v>9</v>
      </c>
      <c r="C19" s="4" t="s">
        <v>61</v>
      </c>
      <c r="D19" s="4"/>
      <c r="E19" s="4" t="s">
        <v>62</v>
      </c>
    </row>
    <row r="20" spans="2:5" x14ac:dyDescent="0.3">
      <c r="B20" s="5" t="s">
        <v>63</v>
      </c>
      <c r="C20" s="7">
        <f>((C6/C7)/C13)/3600</f>
        <v>3.6666666666666665</v>
      </c>
      <c r="E20" s="22" t="s">
        <v>64</v>
      </c>
    </row>
    <row r="21" spans="2:5" x14ac:dyDescent="0.3">
      <c r="B21" s="5" t="s">
        <v>65</v>
      </c>
      <c r="C21" s="23">
        <f>C11*C12*C20/C10</f>
        <v>744799.0549614036</v>
      </c>
      <c r="E21" s="22" t="s">
        <v>66</v>
      </c>
    </row>
    <row r="22" spans="2:5" x14ac:dyDescent="0.3">
      <c r="B22" s="24" t="s">
        <v>67</v>
      </c>
      <c r="C22" s="7">
        <f>C21/(C8*10)</f>
        <v>595.83924396912289</v>
      </c>
      <c r="E22" s="22" t="s">
        <v>68</v>
      </c>
    </row>
    <row r="23" spans="2:5" x14ac:dyDescent="0.3">
      <c r="B23" s="24" t="s">
        <v>14</v>
      </c>
      <c r="C23" s="10">
        <f>C22*C14</f>
        <v>5958392.4396912288</v>
      </c>
      <c r="E23" s="22" t="s">
        <v>69</v>
      </c>
    </row>
    <row r="24" spans="2:5" x14ac:dyDescent="0.3">
      <c r="B24" s="5" t="s">
        <v>70</v>
      </c>
      <c r="C24" s="7">
        <f>C9*C11*C12/C13/3600000</f>
        <v>31.906525171957675</v>
      </c>
      <c r="E24" s="22" t="s">
        <v>71</v>
      </c>
    </row>
    <row r="25" spans="2:5" x14ac:dyDescent="0.3">
      <c r="B25" s="24" t="s">
        <v>16</v>
      </c>
      <c r="C25" s="10">
        <f>C24*C6*C16*C15</f>
        <v>567062.54417525057</v>
      </c>
      <c r="E25" s="22" t="s">
        <v>72</v>
      </c>
    </row>
    <row r="27" spans="2:5" x14ac:dyDescent="0.3">
      <c r="B27" s="1" t="s">
        <v>73</v>
      </c>
    </row>
    <row r="28" spans="2:5" x14ac:dyDescent="0.3">
      <c r="B28" s="4" t="s">
        <v>74</v>
      </c>
      <c r="C28" s="4" t="s">
        <v>75</v>
      </c>
      <c r="D28" s="4" t="s">
        <v>76</v>
      </c>
      <c r="E28" s="4" t="s">
        <v>77</v>
      </c>
    </row>
    <row r="29" spans="2:5" x14ac:dyDescent="0.3">
      <c r="B29" s="5" t="s">
        <v>78</v>
      </c>
      <c r="C29" s="21">
        <v>55000</v>
      </c>
      <c r="D29" s="15">
        <v>1.91</v>
      </c>
      <c r="E29" s="23">
        <f>C29*D29</f>
        <v>105050</v>
      </c>
    </row>
    <row r="30" spans="2:5" x14ac:dyDescent="0.3">
      <c r="B30" s="5" t="s">
        <v>79</v>
      </c>
      <c r="C30" s="21">
        <v>48096</v>
      </c>
      <c r="D30" s="15">
        <v>4.18</v>
      </c>
      <c r="E30" s="23">
        <f>C30*D30</f>
        <v>201041.28</v>
      </c>
    </row>
    <row r="31" spans="2:5" x14ac:dyDescent="0.3">
      <c r="B31" s="5" t="s">
        <v>80</v>
      </c>
      <c r="C31" s="21">
        <v>4904</v>
      </c>
      <c r="D31" s="15">
        <v>1.34</v>
      </c>
      <c r="E31" s="23">
        <f>C31*D31</f>
        <v>6571.3600000000006</v>
      </c>
    </row>
    <row r="32" spans="2:5" x14ac:dyDescent="0.3">
      <c r="B32" s="24" t="s">
        <v>81</v>
      </c>
      <c r="E32" s="23">
        <f>SUM(E29:E31)</f>
        <v>312662.64</v>
      </c>
    </row>
    <row r="33" spans="2:5" x14ac:dyDescent="0.3">
      <c r="B33" s="5" t="s">
        <v>82</v>
      </c>
      <c r="C33" s="17">
        <v>25</v>
      </c>
    </row>
    <row r="34" spans="2:5" x14ac:dyDescent="0.3">
      <c r="B34" s="5" t="s">
        <v>83</v>
      </c>
      <c r="C34" s="17">
        <v>180</v>
      </c>
    </row>
    <row r="35" spans="2:5" x14ac:dyDescent="0.3">
      <c r="B35" s="5" t="s">
        <v>84</v>
      </c>
      <c r="C35" s="20">
        <v>0.66669999999999996</v>
      </c>
    </row>
    <row r="36" spans="2:5" x14ac:dyDescent="0.3">
      <c r="B36" s="5" t="s">
        <v>85</v>
      </c>
      <c r="C36" s="15">
        <v>4.7699999999999996</v>
      </c>
    </row>
    <row r="37" spans="2:5" x14ac:dyDescent="0.3">
      <c r="B37" s="5" t="s">
        <v>86</v>
      </c>
      <c r="C37" s="7">
        <f>E32*(C34-C33)/1000000</f>
        <v>48.462709200000006</v>
      </c>
      <c r="E37" s="22" t="s">
        <v>87</v>
      </c>
    </row>
    <row r="38" spans="2:5" x14ac:dyDescent="0.3">
      <c r="B38" s="24" t="s">
        <v>88</v>
      </c>
      <c r="C38" s="7">
        <f>C37*(1-C35)</f>
        <v>16.152620976360005</v>
      </c>
      <c r="E38" s="22" t="s">
        <v>89</v>
      </c>
    </row>
    <row r="39" spans="2:5" x14ac:dyDescent="0.3">
      <c r="B39" s="24" t="s">
        <v>18</v>
      </c>
      <c r="C39" s="10">
        <f>C38*C16*C36</f>
        <v>269976.19920855924</v>
      </c>
      <c r="E39" s="22" t="s">
        <v>90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showGridLines="0" workbookViewId="0"/>
  </sheetViews>
  <sheetFormatPr defaultRowHeight="16.5" x14ac:dyDescent="0.3"/>
  <cols>
    <col min="1" max="1" width="2" customWidth="1"/>
    <col min="2" max="2" width="34" customWidth="1"/>
    <col min="3" max="3" width="16" customWidth="1"/>
    <col min="4" max="4" width="14" customWidth="1"/>
    <col min="5" max="5" width="40" customWidth="1"/>
  </cols>
  <sheetData>
    <row r="1" spans="1:5" ht="26.1" customHeight="1" x14ac:dyDescent="0.3">
      <c r="A1" s="28" t="s">
        <v>91</v>
      </c>
      <c r="B1" s="27"/>
      <c r="C1" s="27"/>
      <c r="D1" s="27"/>
      <c r="E1" s="27"/>
    </row>
    <row r="3" spans="1:5" x14ac:dyDescent="0.3">
      <c r="B3" s="1" t="s">
        <v>92</v>
      </c>
    </row>
    <row r="4" spans="1:5" x14ac:dyDescent="0.3">
      <c r="B4" s="4" t="s">
        <v>47</v>
      </c>
      <c r="C4" s="4" t="s">
        <v>48</v>
      </c>
    </row>
    <row r="5" spans="1:5" x14ac:dyDescent="0.3">
      <c r="B5" s="5" t="s">
        <v>93</v>
      </c>
      <c r="C5" s="15">
        <v>12</v>
      </c>
    </row>
    <row r="6" spans="1:5" x14ac:dyDescent="0.3">
      <c r="B6" s="5" t="s">
        <v>94</v>
      </c>
      <c r="C6" s="21">
        <v>5000</v>
      </c>
    </row>
    <row r="7" spans="1:5" x14ac:dyDescent="0.3">
      <c r="B7" s="5" t="s">
        <v>95</v>
      </c>
      <c r="C7" s="21">
        <v>75</v>
      </c>
    </row>
    <row r="8" spans="1:5" x14ac:dyDescent="0.3">
      <c r="B8" s="5" t="s">
        <v>96</v>
      </c>
      <c r="C8" s="15">
        <v>6</v>
      </c>
    </row>
    <row r="9" spans="1:5" x14ac:dyDescent="0.3">
      <c r="B9" s="5" t="s">
        <v>97</v>
      </c>
      <c r="C9" s="16">
        <v>0.7</v>
      </c>
    </row>
    <row r="10" spans="1:5" x14ac:dyDescent="0.3">
      <c r="B10" s="5" t="s">
        <v>98</v>
      </c>
      <c r="C10" s="7">
        <f>10*C5*(1/SQRT(C7)-1/SQRT(C6))/0.9072</f>
        <v>13.403163784946321</v>
      </c>
      <c r="E10" s="22" t="s">
        <v>99</v>
      </c>
    </row>
    <row r="11" spans="1:5" x14ac:dyDescent="0.3">
      <c r="B11" s="24" t="s">
        <v>100</v>
      </c>
      <c r="C11" s="7">
        <f>C10*C8/C9</f>
        <v>114.88426101382561</v>
      </c>
      <c r="E11" s="22" t="s">
        <v>101</v>
      </c>
    </row>
    <row r="12" spans="1:5" x14ac:dyDescent="0.3">
      <c r="B12" s="2" t="s">
        <v>102</v>
      </c>
    </row>
    <row r="14" spans="1:5" x14ac:dyDescent="0.3">
      <c r="B14" s="1" t="s">
        <v>103</v>
      </c>
    </row>
    <row r="15" spans="1:5" x14ac:dyDescent="0.3">
      <c r="B15" s="4" t="s">
        <v>9</v>
      </c>
      <c r="C15" s="4" t="s">
        <v>48</v>
      </c>
    </row>
    <row r="16" spans="1:5" x14ac:dyDescent="0.3">
      <c r="B16" s="5" t="s">
        <v>104</v>
      </c>
      <c r="C16" s="7">
        <v>114.88426101382559</v>
      </c>
    </row>
    <row r="17" spans="2:3" x14ac:dyDescent="0.3">
      <c r="B17" s="5" t="s">
        <v>105</v>
      </c>
      <c r="C17" s="10">
        <v>2100574.6770817791</v>
      </c>
    </row>
    <row r="18" spans="2:3" x14ac:dyDescent="0.3">
      <c r="B18" s="5" t="s">
        <v>106</v>
      </c>
      <c r="C18" s="7">
        <v>1.001123953475672</v>
      </c>
    </row>
    <row r="19" spans="2:3" x14ac:dyDescent="0.3">
      <c r="B19" s="5" t="s">
        <v>107</v>
      </c>
      <c r="C19" s="7">
        <v>5.7757151162058014</v>
      </c>
    </row>
    <row r="20" spans="2:3" x14ac:dyDescent="0.3">
      <c r="B20" s="5" t="s">
        <v>108</v>
      </c>
      <c r="C20" s="10">
        <v>340000</v>
      </c>
    </row>
    <row r="21" spans="2:3" x14ac:dyDescent="0.3">
      <c r="B21" s="5" t="s">
        <v>109</v>
      </c>
      <c r="C21" s="7">
        <v>11.17475</v>
      </c>
    </row>
    <row r="22" spans="2:3" x14ac:dyDescent="0.3">
      <c r="B22" s="5" t="s">
        <v>110</v>
      </c>
      <c r="C22" s="7">
        <v>68.979938271604937</v>
      </c>
    </row>
    <row r="23" spans="2:3" x14ac:dyDescent="0.3">
      <c r="B23" s="5" t="s">
        <v>111</v>
      </c>
      <c r="C23" s="10">
        <v>275919.75308641972</v>
      </c>
    </row>
    <row r="24" spans="2:3" x14ac:dyDescent="0.3">
      <c r="B24" s="5" t="s">
        <v>18</v>
      </c>
      <c r="C24" s="10">
        <v>1000471.196854559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workbookViewId="0"/>
  </sheetViews>
  <sheetFormatPr defaultRowHeight="16.5" x14ac:dyDescent="0.3"/>
  <cols>
    <col min="1" max="1" width="2" customWidth="1"/>
    <col min="2" max="2" width="34" customWidth="1"/>
    <col min="3" max="4" width="18" customWidth="1"/>
    <col min="5" max="5" width="12" customWidth="1"/>
  </cols>
  <sheetData>
    <row r="1" spans="1:5" ht="26.1" customHeight="1" x14ac:dyDescent="0.3">
      <c r="A1" s="28" t="s">
        <v>112</v>
      </c>
      <c r="B1" s="27"/>
      <c r="C1" s="27"/>
      <c r="D1" s="27"/>
      <c r="E1" s="27"/>
    </row>
    <row r="3" spans="1:5" x14ac:dyDescent="0.3">
      <c r="B3" s="3" t="s">
        <v>113</v>
      </c>
    </row>
    <row r="4" spans="1:5" x14ac:dyDescent="0.3">
      <c r="B4" s="25" t="s">
        <v>114</v>
      </c>
    </row>
    <row r="6" spans="1:5" x14ac:dyDescent="0.3">
      <c r="A6" s="4" t="s">
        <v>115</v>
      </c>
      <c r="B6" s="4" t="s">
        <v>116</v>
      </c>
      <c r="C6" s="4" t="s">
        <v>117</v>
      </c>
      <c r="D6" s="4" t="s">
        <v>25</v>
      </c>
    </row>
    <row r="7" spans="1:5" x14ac:dyDescent="0.3">
      <c r="B7" s="5" t="s">
        <v>118</v>
      </c>
      <c r="C7" s="7">
        <v>595.83924396912289</v>
      </c>
      <c r="D7" s="7">
        <v>595.83924396912289</v>
      </c>
      <c r="E7" s="13">
        <f t="shared" ref="E7:E12" si="0">IF(C7=0,0,(D7-C7)/C7)</f>
        <v>0</v>
      </c>
    </row>
    <row r="8" spans="1:5" x14ac:dyDescent="0.3">
      <c r="B8" s="5" t="s">
        <v>119</v>
      </c>
      <c r="C8" s="10">
        <v>5958392.4396912288</v>
      </c>
      <c r="D8" s="10">
        <v>5958392.4396912288</v>
      </c>
      <c r="E8" s="13">
        <f t="shared" si="0"/>
        <v>0</v>
      </c>
    </row>
    <row r="9" spans="1:5" x14ac:dyDescent="0.3">
      <c r="B9" s="5" t="s">
        <v>120</v>
      </c>
      <c r="C9" s="7">
        <v>16.152620976360009</v>
      </c>
      <c r="D9" s="7">
        <v>16.152620976360009</v>
      </c>
      <c r="E9" s="13">
        <f t="shared" si="0"/>
        <v>0</v>
      </c>
    </row>
    <row r="10" spans="1:5" x14ac:dyDescent="0.3">
      <c r="B10" s="5" t="s">
        <v>121</v>
      </c>
      <c r="C10" s="7">
        <v>114.88426101382559</v>
      </c>
      <c r="D10" s="7">
        <v>114.88426101382559</v>
      </c>
      <c r="E10" s="13">
        <f t="shared" si="0"/>
        <v>0</v>
      </c>
    </row>
    <row r="11" spans="1:5" x14ac:dyDescent="0.3">
      <c r="B11" s="5" t="s">
        <v>122</v>
      </c>
      <c r="C11" s="10">
        <v>340000</v>
      </c>
      <c r="D11" s="10">
        <v>340000</v>
      </c>
      <c r="E11" s="13">
        <f t="shared" si="0"/>
        <v>0</v>
      </c>
    </row>
    <row r="12" spans="1:5" x14ac:dyDescent="0.3">
      <c r="B12" s="5" t="s">
        <v>123</v>
      </c>
      <c r="C12" s="10">
        <v>275919.75308641972</v>
      </c>
      <c r="D12" s="10">
        <v>275919.75308641972</v>
      </c>
      <c r="E12" s="13">
        <f t="shared" si="0"/>
        <v>0</v>
      </c>
    </row>
    <row r="14" spans="1:5" x14ac:dyDescent="0.3">
      <c r="B14" s="2" t="s">
        <v>124</v>
      </c>
    </row>
    <row r="15" spans="1:5" x14ac:dyDescent="0.3">
      <c r="B15" s="2" t="s">
        <v>125</v>
      </c>
    </row>
  </sheetData>
  <mergeCells count="1">
    <mergeCell ref="A1:E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PET TEA vs Paper</vt:lpstr>
      <vt:lpstr>PET Physics (live)</vt:lpstr>
      <vt:lpstr>LFP Physics (live)</vt:lpstr>
      <vt:lpstr>MATLAB vs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(연구원) 오현명 (에너지화학공학과)</cp:lastModifiedBy>
  <dcterms:created xsi:type="dcterms:W3CDTF">2026-05-29T04:15:11Z</dcterms:created>
  <dcterms:modified xsi:type="dcterms:W3CDTF">2026-05-29T04:16:32Z</dcterms:modified>
</cp:coreProperties>
</file>